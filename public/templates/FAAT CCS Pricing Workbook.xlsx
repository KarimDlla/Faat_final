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بناء نبيل صواف\"/>
    </mc:Choice>
  </mc:AlternateContent>
  <xr:revisionPtr revIDLastSave="0" documentId="13_ncr:1_{3AF227B2-7062-4468-9897-CEC56117AE36}" xr6:coauthVersionLast="47" xr6:coauthVersionMax="47" xr10:uidLastSave="{00000000-0000-0000-0000-000000000000}"/>
  <bookViews>
    <workbookView xWindow="-108" yWindow="-108" windowWidth="23256" windowHeight="12576" tabRatio="861" firstSheet="2" activeTab="14" xr2:uid="{00000000-000D-0000-FFFF-FFFF00000000}"/>
  </bookViews>
  <sheets>
    <sheet name="L1 Info" sheetId="1" r:id="rId1"/>
    <sheet name="L2 Info" sheetId="15" r:id="rId2"/>
    <sheet name="L3 Info" sheetId="17" r:id="rId3"/>
    <sheet name="L4 Info" sheetId="16" r:id="rId4"/>
    <sheet name="L5 Info" sheetId="18" r:id="rId5"/>
    <sheet name="L1" sheetId="2" r:id="rId6"/>
    <sheet name="L2" sheetId="20" r:id="rId7"/>
    <sheet name="L3" sheetId="22" r:id="rId8"/>
    <sheet name="L4" sheetId="21" r:id="rId9"/>
    <sheet name="L5 Cost" sheetId="19" r:id="rId10"/>
    <sheet name="E1" sheetId="24" r:id="rId11"/>
    <sheet name="E2" sheetId="25" r:id="rId12"/>
    <sheet name="M1" sheetId="26" r:id="rId13"/>
    <sheet name="M2" sheetId="27" r:id="rId14"/>
    <sheet name="Proposed Price" sheetId="3" r:id="rId15"/>
    <sheet name="Discounted Price" sheetId="23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22" l="1"/>
  <c r="C22" i="23"/>
  <c r="C23" i="23"/>
  <c r="C24" i="23"/>
  <c r="C25" i="23"/>
  <c r="C26" i="23"/>
  <c r="C27" i="23"/>
  <c r="C28" i="23"/>
  <c r="C29" i="23"/>
  <c r="C21" i="23"/>
  <c r="C16" i="3" l="1"/>
  <c r="C42" i="23" s="1"/>
  <c r="C15" i="3"/>
  <c r="C41" i="23" s="1"/>
  <c r="C14" i="3"/>
  <c r="C40" i="23" s="1"/>
  <c r="C13" i="3"/>
  <c r="C39" i="23" s="1"/>
  <c r="D17" i="24"/>
  <c r="F17" i="24" s="1"/>
  <c r="D16" i="24"/>
  <c r="F16" i="24" s="1"/>
  <c r="F31" i="27"/>
  <c r="D29" i="27"/>
  <c r="F29" i="27" s="1"/>
  <c r="D28" i="27"/>
  <c r="F28" i="27" s="1"/>
  <c r="D27" i="27"/>
  <c r="F27" i="27" s="1"/>
  <c r="D26" i="27"/>
  <c r="F26" i="27" s="1"/>
  <c r="D25" i="27"/>
  <c r="F25" i="27" s="1"/>
  <c r="D24" i="27"/>
  <c r="F24" i="27" s="1"/>
  <c r="D23" i="27"/>
  <c r="F23" i="27" s="1"/>
  <c r="D22" i="27"/>
  <c r="F22" i="27" s="1"/>
  <c r="D21" i="27"/>
  <c r="F21" i="27" s="1"/>
  <c r="D20" i="27"/>
  <c r="F20" i="27" s="1"/>
  <c r="D19" i="27"/>
  <c r="F19" i="27" s="1"/>
  <c r="F18" i="27"/>
  <c r="D17" i="27"/>
  <c r="F17" i="27" s="1"/>
  <c r="D16" i="27"/>
  <c r="F16" i="27" s="1"/>
  <c r="E14" i="27"/>
  <c r="F14" i="27" s="1"/>
  <c r="E13" i="27"/>
  <c r="F13" i="27" s="1"/>
  <c r="F12" i="27"/>
  <c r="E30" i="27" s="1"/>
  <c r="F30" i="27" s="1"/>
  <c r="F31" i="26"/>
  <c r="D29" i="26"/>
  <c r="F29" i="26" s="1"/>
  <c r="D28" i="26"/>
  <c r="F28" i="26" s="1"/>
  <c r="D27" i="26"/>
  <c r="F27" i="26" s="1"/>
  <c r="D26" i="26"/>
  <c r="F26" i="26" s="1"/>
  <c r="D25" i="26"/>
  <c r="F25" i="26" s="1"/>
  <c r="D24" i="26"/>
  <c r="F24" i="26" s="1"/>
  <c r="D23" i="26"/>
  <c r="F23" i="26" s="1"/>
  <c r="D22" i="26"/>
  <c r="F22" i="26" s="1"/>
  <c r="D21" i="26"/>
  <c r="F21" i="26" s="1"/>
  <c r="D20" i="26"/>
  <c r="F20" i="26" s="1"/>
  <c r="D19" i="26"/>
  <c r="F19" i="26" s="1"/>
  <c r="F18" i="26"/>
  <c r="D17" i="26"/>
  <c r="F17" i="26" s="1"/>
  <c r="D16" i="26"/>
  <c r="F16" i="26" s="1"/>
  <c r="E14" i="26"/>
  <c r="F14" i="26" s="1"/>
  <c r="E13" i="26"/>
  <c r="F13" i="26" s="1"/>
  <c r="F12" i="26"/>
  <c r="E30" i="26" s="1"/>
  <c r="F30" i="26" s="1"/>
  <c r="F31" i="25"/>
  <c r="D29" i="25"/>
  <c r="F29" i="25" s="1"/>
  <c r="D28" i="25"/>
  <c r="F28" i="25" s="1"/>
  <c r="D27" i="25"/>
  <c r="F27" i="25" s="1"/>
  <c r="D26" i="25"/>
  <c r="F26" i="25" s="1"/>
  <c r="D25" i="25"/>
  <c r="F25" i="25" s="1"/>
  <c r="D24" i="25"/>
  <c r="F24" i="25" s="1"/>
  <c r="D23" i="25"/>
  <c r="F23" i="25" s="1"/>
  <c r="D22" i="25"/>
  <c r="F22" i="25" s="1"/>
  <c r="D21" i="25"/>
  <c r="F21" i="25" s="1"/>
  <c r="D20" i="25"/>
  <c r="F20" i="25" s="1"/>
  <c r="D19" i="25"/>
  <c r="F19" i="25" s="1"/>
  <c r="F18" i="25"/>
  <c r="D17" i="25"/>
  <c r="F17" i="25" s="1"/>
  <c r="D16" i="25"/>
  <c r="F16" i="25" s="1"/>
  <c r="E14" i="25"/>
  <c r="F14" i="25" s="1"/>
  <c r="E13" i="25"/>
  <c r="F13" i="25" s="1"/>
  <c r="F12" i="25"/>
  <c r="E30" i="25" s="1"/>
  <c r="F30" i="25" s="1"/>
  <c r="F31" i="24"/>
  <c r="D29" i="24"/>
  <c r="F29" i="24" s="1"/>
  <c r="D28" i="24"/>
  <c r="F28" i="24" s="1"/>
  <c r="D27" i="24"/>
  <c r="F27" i="24" s="1"/>
  <c r="D26" i="24"/>
  <c r="F26" i="24" s="1"/>
  <c r="D25" i="24"/>
  <c r="F25" i="24" s="1"/>
  <c r="D24" i="24"/>
  <c r="F24" i="24" s="1"/>
  <c r="D23" i="24"/>
  <c r="F23" i="24" s="1"/>
  <c r="D22" i="24"/>
  <c r="F22" i="24" s="1"/>
  <c r="D21" i="24"/>
  <c r="F21" i="24" s="1"/>
  <c r="D20" i="24"/>
  <c r="F20" i="24" s="1"/>
  <c r="D19" i="24"/>
  <c r="F19" i="24" s="1"/>
  <c r="F18" i="24"/>
  <c r="E14" i="24"/>
  <c r="F14" i="24" s="1"/>
  <c r="E13" i="24"/>
  <c r="F13" i="24" s="1"/>
  <c r="F12" i="24"/>
  <c r="E30" i="24" s="1"/>
  <c r="F30" i="24" s="1"/>
  <c r="C8" i="3"/>
  <c r="C34" i="23" s="1"/>
  <c r="E14" i="2"/>
  <c r="E13" i="20"/>
  <c r="F13" i="20" s="1"/>
  <c r="E13" i="22"/>
  <c r="F13" i="22" s="1"/>
  <c r="E13" i="21"/>
  <c r="F13" i="21" s="1"/>
  <c r="E13" i="19"/>
  <c r="F13" i="19" s="1"/>
  <c r="E13" i="2"/>
  <c r="D27" i="2"/>
  <c r="C12" i="3"/>
  <c r="C38" i="23" s="1"/>
  <c r="C11" i="3"/>
  <c r="C37" i="23" s="1"/>
  <c r="C10" i="3"/>
  <c r="C9" i="3"/>
  <c r="C35" i="23" s="1"/>
  <c r="F31" i="22"/>
  <c r="D29" i="22"/>
  <c r="F29" i="22" s="1"/>
  <c r="D28" i="22"/>
  <c r="F28" i="22" s="1"/>
  <c r="D27" i="22"/>
  <c r="F27" i="22" s="1"/>
  <c r="D26" i="22"/>
  <c r="F26" i="22" s="1"/>
  <c r="D25" i="22"/>
  <c r="F25" i="22" s="1"/>
  <c r="D24" i="22"/>
  <c r="F24" i="22" s="1"/>
  <c r="D23" i="22"/>
  <c r="F23" i="22" s="1"/>
  <c r="D22" i="22"/>
  <c r="F22" i="22" s="1"/>
  <c r="D21" i="22"/>
  <c r="F21" i="22" s="1"/>
  <c r="D20" i="22"/>
  <c r="F20" i="22" s="1"/>
  <c r="D19" i="22"/>
  <c r="F19" i="22" s="1"/>
  <c r="F18" i="22"/>
  <c r="F17" i="22"/>
  <c r="D16" i="22"/>
  <c r="F16" i="22" s="1"/>
  <c r="E14" i="22"/>
  <c r="F14" i="22" s="1"/>
  <c r="F12" i="22"/>
  <c r="E30" i="22" s="1"/>
  <c r="F30" i="22" s="1"/>
  <c r="F31" i="21"/>
  <c r="D29" i="21"/>
  <c r="F29" i="21" s="1"/>
  <c r="D28" i="21"/>
  <c r="F28" i="21" s="1"/>
  <c r="D27" i="21"/>
  <c r="F27" i="21" s="1"/>
  <c r="D26" i="21"/>
  <c r="F26" i="21" s="1"/>
  <c r="D25" i="21"/>
  <c r="F25" i="21" s="1"/>
  <c r="D24" i="21"/>
  <c r="F24" i="21" s="1"/>
  <c r="D23" i="21"/>
  <c r="F23" i="21" s="1"/>
  <c r="D22" i="21"/>
  <c r="F22" i="21" s="1"/>
  <c r="D21" i="21"/>
  <c r="F21" i="21" s="1"/>
  <c r="D20" i="21"/>
  <c r="F20" i="21" s="1"/>
  <c r="D19" i="21"/>
  <c r="F19" i="21" s="1"/>
  <c r="F18" i="21"/>
  <c r="D17" i="21"/>
  <c r="F17" i="21" s="1"/>
  <c r="D16" i="21"/>
  <c r="F16" i="21" s="1"/>
  <c r="E14" i="21"/>
  <c r="F14" i="21" s="1"/>
  <c r="F12" i="21"/>
  <c r="E30" i="21" s="1"/>
  <c r="F30" i="21" s="1"/>
  <c r="F31" i="20"/>
  <c r="D29" i="20"/>
  <c r="F29" i="20" s="1"/>
  <c r="D28" i="20"/>
  <c r="F28" i="20" s="1"/>
  <c r="D27" i="20"/>
  <c r="F27" i="20" s="1"/>
  <c r="D26" i="20"/>
  <c r="F26" i="20" s="1"/>
  <c r="D25" i="20"/>
  <c r="F25" i="20" s="1"/>
  <c r="D24" i="20"/>
  <c r="F24" i="20" s="1"/>
  <c r="D23" i="20"/>
  <c r="F23" i="20" s="1"/>
  <c r="D22" i="20"/>
  <c r="F22" i="20" s="1"/>
  <c r="D21" i="20"/>
  <c r="F21" i="20" s="1"/>
  <c r="D20" i="20"/>
  <c r="F20" i="20" s="1"/>
  <c r="D19" i="20"/>
  <c r="F19" i="20" s="1"/>
  <c r="F18" i="20"/>
  <c r="D17" i="20"/>
  <c r="F17" i="20" s="1"/>
  <c r="D16" i="20"/>
  <c r="F16" i="20" s="1"/>
  <c r="E14" i="20"/>
  <c r="F14" i="20" s="1"/>
  <c r="F12" i="20"/>
  <c r="E30" i="20" s="1"/>
  <c r="F30" i="20" s="1"/>
  <c r="F31" i="19"/>
  <c r="D29" i="19"/>
  <c r="F29" i="19" s="1"/>
  <c r="D28" i="19"/>
  <c r="F28" i="19" s="1"/>
  <c r="D27" i="19"/>
  <c r="F27" i="19" s="1"/>
  <c r="D26" i="19"/>
  <c r="F26" i="19" s="1"/>
  <c r="D25" i="19"/>
  <c r="F25" i="19" s="1"/>
  <c r="D24" i="19"/>
  <c r="F24" i="19" s="1"/>
  <c r="D23" i="19"/>
  <c r="F23" i="19" s="1"/>
  <c r="D22" i="19"/>
  <c r="F22" i="19" s="1"/>
  <c r="D21" i="19"/>
  <c r="F21" i="19" s="1"/>
  <c r="D20" i="19"/>
  <c r="F20" i="19" s="1"/>
  <c r="D19" i="19"/>
  <c r="F19" i="19" s="1"/>
  <c r="F18" i="19"/>
  <c r="D17" i="19"/>
  <c r="F17" i="19" s="1"/>
  <c r="D16" i="19"/>
  <c r="F16" i="19" s="1"/>
  <c r="E14" i="19"/>
  <c r="F14" i="19" s="1"/>
  <c r="F12" i="19"/>
  <c r="E30" i="19" s="1"/>
  <c r="F30" i="19" s="1"/>
  <c r="C23" i="18"/>
  <c r="C22" i="18"/>
  <c r="C21" i="18"/>
  <c r="C20" i="18"/>
  <c r="C19" i="18"/>
  <c r="C18" i="18"/>
  <c r="C16" i="18"/>
  <c r="C29" i="18" s="1"/>
  <c r="C31" i="18" s="1"/>
  <c r="C35" i="18" s="1"/>
  <c r="C12" i="18"/>
  <c r="C23" i="17"/>
  <c r="C22" i="17"/>
  <c r="C21" i="17"/>
  <c r="C20" i="17"/>
  <c r="C19" i="17"/>
  <c r="C18" i="17"/>
  <c r="C16" i="17"/>
  <c r="C29" i="17" s="1"/>
  <c r="C31" i="17" s="1"/>
  <c r="C35" i="17" s="1"/>
  <c r="C12" i="17"/>
  <c r="C29" i="16"/>
  <c r="C31" i="16" s="1"/>
  <c r="C35" i="16" s="1"/>
  <c r="C23" i="16"/>
  <c r="C22" i="16"/>
  <c r="C21" i="16"/>
  <c r="C20" i="16"/>
  <c r="C19" i="16"/>
  <c r="C18" i="16"/>
  <c r="C16" i="16"/>
  <c r="C12" i="16"/>
  <c r="C23" i="15"/>
  <c r="C22" i="15"/>
  <c r="C21" i="15"/>
  <c r="C20" i="15"/>
  <c r="C19" i="15"/>
  <c r="C18" i="15"/>
  <c r="C16" i="15"/>
  <c r="C29" i="15" s="1"/>
  <c r="C31" i="15" s="1"/>
  <c r="C35" i="15" s="1"/>
  <c r="C12" i="15"/>
  <c r="C12" i="1"/>
  <c r="C20" i="1"/>
  <c r="C19" i="1"/>
  <c r="E15" i="21" l="1"/>
  <c r="F15" i="21" s="1"/>
  <c r="E33" i="21" s="1"/>
  <c r="C36" i="23"/>
  <c r="C46" i="3"/>
  <c r="E15" i="22"/>
  <c r="F15" i="22" s="1"/>
  <c r="E33" i="22" s="1"/>
  <c r="C38" i="3"/>
  <c r="C54" i="3"/>
  <c r="C40" i="3"/>
  <c r="C56" i="3"/>
  <c r="C51" i="3"/>
  <c r="C35" i="3"/>
  <c r="C50" i="3"/>
  <c r="C34" i="3"/>
  <c r="C57" i="3"/>
  <c r="C41" i="3"/>
  <c r="C53" i="3"/>
  <c r="C37" i="3"/>
  <c r="C55" i="3"/>
  <c r="C39" i="3"/>
  <c r="C52" i="3"/>
  <c r="C36" i="3"/>
  <c r="C42" i="3"/>
  <c r="C58" i="3"/>
  <c r="E15" i="19"/>
  <c r="F15" i="19" s="1"/>
  <c r="E33" i="19" s="1"/>
  <c r="E15" i="27"/>
  <c r="F15" i="27" s="1"/>
  <c r="E33" i="27" s="1"/>
  <c r="E34" i="27" s="1"/>
  <c r="D16" i="3" s="1"/>
  <c r="E16" i="3" s="1"/>
  <c r="E15" i="26"/>
  <c r="F15" i="26" s="1"/>
  <c r="E33" i="26" s="1"/>
  <c r="E34" i="26" s="1"/>
  <c r="D15" i="3" s="1"/>
  <c r="E15" i="3" s="1"/>
  <c r="E15" i="25"/>
  <c r="F15" i="25" s="1"/>
  <c r="E33" i="25" s="1"/>
  <c r="E34" i="25" s="1"/>
  <c r="D14" i="3" s="1"/>
  <c r="E14" i="3" s="1"/>
  <c r="E15" i="24"/>
  <c r="F15" i="24" s="1"/>
  <c r="E33" i="24" s="1"/>
  <c r="E34" i="24" s="1"/>
  <c r="D13" i="3" s="1"/>
  <c r="E13" i="3" s="1"/>
  <c r="E15" i="20"/>
  <c r="F15" i="20" s="1"/>
  <c r="E33" i="20" s="1"/>
  <c r="D29" i="2"/>
  <c r="F29" i="2" s="1"/>
  <c r="D28" i="2"/>
  <c r="F28" i="2" s="1"/>
  <c r="F27" i="2"/>
  <c r="D26" i="2"/>
  <c r="F26" i="2" s="1"/>
  <c r="D25" i="2"/>
  <c r="F25" i="2" s="1"/>
  <c r="D24" i="2"/>
  <c r="D23" i="2"/>
  <c r="F23" i="2" s="1"/>
  <c r="D22" i="2"/>
  <c r="F22" i="2" s="1"/>
  <c r="D21" i="2"/>
  <c r="F21" i="2" s="1"/>
  <c r="D20" i="2"/>
  <c r="F20" i="2" s="1"/>
  <c r="D19" i="2"/>
  <c r="F19" i="2" s="1"/>
  <c r="F18" i="2"/>
  <c r="D17" i="2"/>
  <c r="F17" i="2" s="1"/>
  <c r="D16" i="2"/>
  <c r="F16" i="2" s="1"/>
  <c r="F14" i="2"/>
  <c r="F13" i="2"/>
  <c r="F31" i="2"/>
  <c r="F24" i="2"/>
  <c r="D28" i="3" l="1"/>
  <c r="D41" i="3" s="1"/>
  <c r="E28" i="3"/>
  <c r="D26" i="3"/>
  <c r="D39" i="3" s="1"/>
  <c r="E26" i="3"/>
  <c r="E34" i="21"/>
  <c r="D11" i="3" s="1"/>
  <c r="E34" i="22"/>
  <c r="D10" i="3" s="1"/>
  <c r="E34" i="20"/>
  <c r="D9" i="3" s="1"/>
  <c r="E34" i="19"/>
  <c r="D12" i="3" s="1"/>
  <c r="F12" i="2"/>
  <c r="E30" i="2" s="1"/>
  <c r="D29" i="3" l="1"/>
  <c r="D42" i="3" s="1"/>
  <c r="E29" i="3"/>
  <c r="E42" i="3" s="1"/>
  <c r="D27" i="3"/>
  <c r="D40" i="3" s="1"/>
  <c r="E27" i="3"/>
  <c r="E40" i="3" s="1"/>
  <c r="E41" i="3"/>
  <c r="E57" i="3"/>
  <c r="E39" i="3"/>
  <c r="E55" i="3"/>
  <c r="D24" i="3"/>
  <c r="D37" i="3" s="1"/>
  <c r="E11" i="3"/>
  <c r="E24" i="3" s="1"/>
  <c r="E53" i="3" s="1"/>
  <c r="D23" i="3"/>
  <c r="D36" i="3" s="1"/>
  <c r="E10" i="3"/>
  <c r="E23" i="3" s="1"/>
  <c r="D22" i="3"/>
  <c r="D35" i="3" s="1"/>
  <c r="E9" i="3"/>
  <c r="E22" i="3" s="1"/>
  <c r="E51" i="3" s="1"/>
  <c r="E64" i="3" s="1"/>
  <c r="E12" i="3"/>
  <c r="D25" i="3"/>
  <c r="D38" i="3" s="1"/>
  <c r="E15" i="2"/>
  <c r="F15" i="2" s="1"/>
  <c r="F30" i="2"/>
  <c r="C18" i="1"/>
  <c r="C16" i="1"/>
  <c r="C23" i="1"/>
  <c r="C22" i="1"/>
  <c r="C21" i="1"/>
  <c r="E33" i="2" l="1"/>
  <c r="E34" i="2" s="1"/>
  <c r="D8" i="3" s="1"/>
  <c r="D21" i="3" s="1"/>
  <c r="D34" i="3" s="1"/>
  <c r="E9" i="23"/>
  <c r="E22" i="23" s="1"/>
  <c r="E35" i="23" s="1"/>
  <c r="D35" i="23" s="1"/>
  <c r="D55" i="3"/>
  <c r="D68" i="3" s="1"/>
  <c r="D13" i="23" s="1"/>
  <c r="D26" i="23" s="1"/>
  <c r="E68" i="3"/>
  <c r="E13" i="23" s="1"/>
  <c r="D53" i="3"/>
  <c r="D66" i="3" s="1"/>
  <c r="D11" i="23" s="1"/>
  <c r="D24" i="23" s="1"/>
  <c r="E66" i="3"/>
  <c r="D57" i="3"/>
  <c r="D70" i="3" s="1"/>
  <c r="D15" i="23" s="1"/>
  <c r="D28" i="23" s="1"/>
  <c r="E70" i="3"/>
  <c r="E15" i="23" s="1"/>
  <c r="D51" i="3"/>
  <c r="D64" i="3" s="1"/>
  <c r="D9" i="23" s="1"/>
  <c r="D22" i="23" s="1"/>
  <c r="E56" i="3"/>
  <c r="E58" i="3"/>
  <c r="E37" i="3"/>
  <c r="E36" i="3"/>
  <c r="E52" i="3"/>
  <c r="E65" i="3" s="1"/>
  <c r="E35" i="3"/>
  <c r="E25" i="3"/>
  <c r="C29" i="1"/>
  <c r="C31" i="1" s="1"/>
  <c r="C35" i="1" s="1"/>
  <c r="E8" i="3" l="1"/>
  <c r="E21" i="3" s="1"/>
  <c r="E50" i="3" s="1"/>
  <c r="E63" i="3" s="1"/>
  <c r="E11" i="23"/>
  <c r="E24" i="23" s="1"/>
  <c r="E37" i="23" s="1"/>
  <c r="D37" i="23" s="1"/>
  <c r="E28" i="23"/>
  <c r="E41" i="23" s="1"/>
  <c r="D41" i="23" s="1"/>
  <c r="E26" i="23"/>
  <c r="E39" i="23" s="1"/>
  <c r="D39" i="23" s="1"/>
  <c r="D58" i="3"/>
  <c r="D71" i="3" s="1"/>
  <c r="D16" i="23" s="1"/>
  <c r="D29" i="23" s="1"/>
  <c r="E71" i="3"/>
  <c r="E16" i="23" s="1"/>
  <c r="D52" i="3"/>
  <c r="D65" i="3" s="1"/>
  <c r="D10" i="23" s="1"/>
  <c r="D23" i="23" s="1"/>
  <c r="D56" i="3"/>
  <c r="D69" i="3" s="1"/>
  <c r="D14" i="23" s="1"/>
  <c r="D27" i="23" s="1"/>
  <c r="E69" i="3"/>
  <c r="E14" i="23" s="1"/>
  <c r="E38" i="3"/>
  <c r="E54" i="3"/>
  <c r="E17" i="3" l="1"/>
  <c r="E34" i="3"/>
  <c r="D50" i="3"/>
  <c r="D63" i="3" s="1"/>
  <c r="D8" i="23" s="1"/>
  <c r="D21" i="23" s="1"/>
  <c r="E10" i="23"/>
  <c r="E23" i="23" s="1"/>
  <c r="E36" i="23" s="1"/>
  <c r="D36" i="23" s="1"/>
  <c r="E8" i="23"/>
  <c r="E27" i="23"/>
  <c r="E40" i="23" s="1"/>
  <c r="D40" i="23" s="1"/>
  <c r="E29" i="23"/>
  <c r="E42" i="23" s="1"/>
  <c r="D42" i="23" s="1"/>
  <c r="D54" i="3"/>
  <c r="D67" i="3" s="1"/>
  <c r="D12" i="23" s="1"/>
  <c r="D25" i="23" s="1"/>
  <c r="E67" i="3"/>
  <c r="E12" i="23" s="1"/>
  <c r="E30" i="3"/>
  <c r="E72" i="3" l="1"/>
  <c r="E59" i="3"/>
  <c r="E43" i="3"/>
  <c r="E21" i="23"/>
  <c r="E34" i="23" s="1"/>
  <c r="D34" i="23" s="1"/>
  <c r="E25" i="23"/>
  <c r="E38" i="23" s="1"/>
  <c r="D38" i="23" s="1"/>
  <c r="E17" i="23"/>
  <c r="E78" i="3"/>
  <c r="E74" i="3" s="1"/>
  <c r="E30" i="23" l="1"/>
  <c r="E46" i="23" s="1"/>
  <c r="E79" i="3"/>
  <c r="E43" i="23" l="1"/>
  <c r="E45" i="23" s="1"/>
</calcChain>
</file>

<file path=xl/sharedStrings.xml><?xml version="1.0" encoding="utf-8"?>
<sst xmlns="http://schemas.openxmlformats.org/spreadsheetml/2006/main" count="959" uniqueCount="123">
  <si>
    <t>Remarks</t>
  </si>
  <si>
    <t>Total Height, m</t>
  </si>
  <si>
    <t>No. of Landing doors</t>
  </si>
  <si>
    <t>Number of shifts</t>
  </si>
  <si>
    <t>1 OR 1.5</t>
  </si>
  <si>
    <t>Number of working day per Month</t>
  </si>
  <si>
    <t>No. of guiderails set (each set is 5m)</t>
  </si>
  <si>
    <t>Each sets is consists of 2 CAR 5m guiderails, 2 CWT 5m guiderails, 3 brackets for each guiderails 12 by total</t>
  </si>
  <si>
    <t>No. of traction ropes</t>
  </si>
  <si>
    <t>The ropes quantity is drawn from motor specs</t>
  </si>
  <si>
    <t>Project Estimated time, working day</t>
  </si>
  <si>
    <t>20m per shift</t>
  </si>
  <si>
    <t>Jigs and nots</t>
  </si>
  <si>
    <t>Guiderails</t>
  </si>
  <si>
    <t>1 set per shift</t>
  </si>
  <si>
    <t>Motor and control panel</t>
  </si>
  <si>
    <t>1.5 shifts</t>
  </si>
  <si>
    <t>Cabin and counter weight frame (1.5 shifts)</t>
  </si>
  <si>
    <t>175m per shift</t>
  </si>
  <si>
    <t>First operating and inspection (1.5 shifts)</t>
  </si>
  <si>
    <t>Landing doors</t>
  </si>
  <si>
    <t>LOP place drilling</t>
  </si>
  <si>
    <t>Electrical equipment</t>
  </si>
  <si>
    <t>Value</t>
  </si>
  <si>
    <t xml:space="preserve">4 days off  is mandatory safety wise for rest and relief  </t>
  </si>
  <si>
    <t>Scaffolding</t>
  </si>
  <si>
    <t>Traction ropes</t>
  </si>
  <si>
    <t>Vinyl and travel</t>
  </si>
  <si>
    <t>Testing and commissioning</t>
  </si>
  <si>
    <t>Elevator General Data</t>
  </si>
  <si>
    <t>Days</t>
  </si>
  <si>
    <t>1 landing door per shift per day</t>
  </si>
  <si>
    <t>Cabin Interior assembly</t>
  </si>
  <si>
    <t>Project NO. :</t>
  </si>
  <si>
    <t xml:space="preserve">Serial NO. : </t>
  </si>
  <si>
    <t>Date:</t>
  </si>
  <si>
    <t>____/___/_____</t>
  </si>
  <si>
    <t>REV NO. :</t>
  </si>
  <si>
    <t>Estimated Working Days</t>
  </si>
  <si>
    <t>Duration of 1 elevator intallation by month</t>
  </si>
  <si>
    <t>Number of Teams</t>
  </si>
  <si>
    <t>Qty. of Elevators</t>
  </si>
  <si>
    <t>Duration of all Elevators intallation by months</t>
  </si>
  <si>
    <t>General Details / Installation Time</t>
  </si>
  <si>
    <t>Elevator Name</t>
  </si>
  <si>
    <t>Project:</t>
  </si>
  <si>
    <t>Description</t>
  </si>
  <si>
    <t>Qty</t>
  </si>
  <si>
    <t>Amount</t>
  </si>
  <si>
    <t>Rate</t>
  </si>
  <si>
    <t>QUOTATION DATE:</t>
  </si>
  <si>
    <t>FOB price Per Elevator</t>
  </si>
  <si>
    <t>Banking Charge</t>
  </si>
  <si>
    <t>Local Materials</t>
  </si>
  <si>
    <t>Overhead (percentage of the FOB)</t>
  </si>
  <si>
    <t>SHARP Quotation Ref. Number:</t>
  </si>
  <si>
    <t>Free Maintenance (percentage of the CIF)</t>
  </si>
  <si>
    <t xml:space="preserve">Accommodation </t>
  </si>
  <si>
    <t>Travel Expenses</t>
  </si>
  <si>
    <t>Metal Separating Beams</t>
  </si>
  <si>
    <t>Civil Works</t>
  </si>
  <si>
    <t>Bid Bond</t>
  </si>
  <si>
    <t>Performance Bond</t>
  </si>
  <si>
    <t>Design &amp; Study (3% In Case)</t>
  </si>
  <si>
    <t>No.</t>
  </si>
  <si>
    <t>Power Source / generator</t>
  </si>
  <si>
    <t>Power Cables</t>
  </si>
  <si>
    <r>
      <rPr>
        <sz val="11"/>
        <color theme="1"/>
        <rFont val="Arial"/>
        <family val="2"/>
        <scheme val="minor"/>
      </rPr>
      <t>Installation by local staff</t>
    </r>
  </si>
  <si>
    <t>Income Tax</t>
  </si>
  <si>
    <t>Elevator Name:</t>
  </si>
  <si>
    <t>Any Additional requirements by client</t>
  </si>
  <si>
    <t>Forklifts</t>
  </si>
  <si>
    <t>Cranes</t>
  </si>
  <si>
    <t>Installation by Other Technicians</t>
  </si>
  <si>
    <t>L3</t>
  </si>
  <si>
    <t>Total Price with Customs and profit</t>
  </si>
  <si>
    <t>Final Selling Price with Tax</t>
  </si>
  <si>
    <t>Total Price After Profit  Without Customs</t>
  </si>
  <si>
    <t xml:space="preserve">Total Net Profit  </t>
  </si>
  <si>
    <t>COST CALCULATION</t>
  </si>
  <si>
    <t>DOC No.:</t>
  </si>
  <si>
    <t>L1</t>
  </si>
  <si>
    <t>L2</t>
  </si>
  <si>
    <t>L4</t>
  </si>
  <si>
    <t>L5</t>
  </si>
  <si>
    <t>Inputs</t>
  </si>
  <si>
    <t>Output</t>
  </si>
  <si>
    <t>Calculation</t>
  </si>
  <si>
    <t>Input</t>
  </si>
  <si>
    <t>Total Cost of Elevators:</t>
  </si>
  <si>
    <t>Cost per one Elevator:</t>
  </si>
  <si>
    <t>Legend</t>
  </si>
  <si>
    <t>-</t>
  </si>
  <si>
    <t>Total Cost of all Elevators Without Customs</t>
  </si>
  <si>
    <t>Unit Price</t>
  </si>
  <si>
    <t>FINAL PRICE CALCULATION</t>
  </si>
  <si>
    <t>DISCOUNTED COST CALCULATION</t>
  </si>
  <si>
    <t xml:space="preserve">Total Customs </t>
  </si>
  <si>
    <t>Profit Percentage as per Final Selling Price</t>
  </si>
  <si>
    <t>Proposed Price</t>
  </si>
  <si>
    <t>Total Costs</t>
  </si>
  <si>
    <t>Escalator Name:</t>
  </si>
  <si>
    <t>E1</t>
  </si>
  <si>
    <t>E2</t>
  </si>
  <si>
    <t>M1</t>
  </si>
  <si>
    <t>Moving Walk Name:</t>
  </si>
  <si>
    <t>M2</t>
  </si>
  <si>
    <t>Price of Units After Profit Without Customs</t>
  </si>
  <si>
    <t>Net Profit of Units</t>
  </si>
  <si>
    <t>Cost of Units Without Customes and Shipping</t>
  </si>
  <si>
    <t>Percentage</t>
  </si>
  <si>
    <t>Average Custom per Unit</t>
  </si>
  <si>
    <t>Price With Customs and Profit / Without Income Tax</t>
  </si>
  <si>
    <t>Price With Customs, Profit and Income Tax</t>
  </si>
  <si>
    <t>DISCOUNTED PRICE</t>
  </si>
  <si>
    <t>NEW INCOME TAX</t>
  </si>
  <si>
    <t xml:space="preserve">Total Net Profit:   </t>
  </si>
  <si>
    <t xml:space="preserve">Total Income Tax:  </t>
  </si>
  <si>
    <t xml:space="preserve">Total Discounted Price:  </t>
  </si>
  <si>
    <t>NEW NET PROFIT</t>
  </si>
  <si>
    <t xml:space="preserve">Difference Between Proposed &amp; Discounted Net Profit:  </t>
  </si>
  <si>
    <t xml:space="preserve">Percentage of Net Profit due to Discount:  </t>
  </si>
  <si>
    <t>Al thuraya Tower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</si>
</sst>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.00_);_(&quot;$&quot;* \(#,##0.00\);_(&quot;$&quot;* &quot;-&quot;??_);_(@_)"/>
    <numFmt numFmtId="165" formatCode="0.0"/>
    <numFmt numFmtId="166" formatCode="0.0%"/>
    <numFmt numFmtId="167" formatCode="0.000"/>
    <numFmt numFmtId="168" formatCode="[$SYR]\ #,##0.00"/>
    <numFmt numFmtId="169" formatCode="_([$SYR]\ * #,##0.00_);_([$SYR]\ * \(#,##0.00\);_([$SYR]\ * &quot;-&quot;??_);_(@_)"/>
    <numFmt numFmtId="170" formatCode="_(&quot;$&quot;* #,##0_);_(&quot;$&quot;* \(#,##0\);_(&quot;$&quot;* &quot;-&quot;??_);_(@_)"/>
  </numFmts>
  <fonts count="2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sz val="10"/>
      <name val="Roboto"/>
    </font>
    <font>
      <sz val="10"/>
      <color theme="1"/>
      <name val="Roboto"/>
    </font>
    <font>
      <b/>
      <sz val="14"/>
      <name val="Roboto"/>
    </font>
    <font>
      <b/>
      <sz val="10"/>
      <color theme="1"/>
      <name val="Roboto"/>
    </font>
    <font>
      <sz val="8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2"/>
      <name val="Roboto"/>
    </font>
    <font>
      <u/>
      <sz val="12"/>
      <color theme="1"/>
      <name val="Roboto"/>
    </font>
    <font>
      <sz val="12"/>
      <color theme="1"/>
      <name val="Roboto"/>
    </font>
    <font>
      <sz val="12"/>
      <color rgb="FF3F3F76"/>
      <name val="Arial"/>
      <family val="2"/>
      <scheme val="minor"/>
    </font>
    <font>
      <b/>
      <sz val="12"/>
      <color rgb="FF3F3F3F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Roboto"/>
    </font>
    <font>
      <b/>
      <sz val="12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4"/>
      <color rgb="FF3F3F3F"/>
      <name val="Arial"/>
      <family val="2"/>
      <scheme val="minor"/>
    </font>
    <font>
      <b/>
      <sz val="14"/>
      <color rgb="FFFA7D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1" fillId="5" borderId="12" applyNumberFormat="0" applyAlignment="0" applyProtection="0"/>
    <xf numFmtId="0" fontId="12" fillId="6" borderId="13" applyNumberFormat="0" applyAlignment="0" applyProtection="0"/>
    <xf numFmtId="0" fontId="13" fillId="6" borderId="12" applyNumberFormat="0" applyAlignment="0" applyProtection="0"/>
  </cellStyleXfs>
  <cellXfs count="159">
    <xf numFmtId="0" fontId="0" fillId="0" borderId="0" xfId="0"/>
    <xf numFmtId="0" fontId="3" fillId="0" borderId="0" xfId="0" applyFont="1"/>
    <xf numFmtId="0" fontId="3" fillId="0" borderId="1" xfId="2" applyFont="1" applyBorder="1" applyAlignment="1">
      <alignment horizontal="left" vertical="center"/>
    </xf>
    <xf numFmtId="165" fontId="5" fillId="2" borderId="1" xfId="2" applyNumberFormat="1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horizontal="center" vertical="center"/>
    </xf>
    <xf numFmtId="166" fontId="0" fillId="0" borderId="0" xfId="1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7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7" fillId="0" borderId="0" xfId="0" applyFont="1" applyAlignment="1" applyProtection="1">
      <alignment horizontal="left" vertical="center" indent="1"/>
      <protection locked="0"/>
    </xf>
    <xf numFmtId="0" fontId="7" fillId="0" borderId="0" xfId="0" applyFont="1" applyAlignment="1" applyProtection="1">
      <alignment vertical="center"/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0" fontId="0" fillId="0" borderId="4" xfId="0" applyBorder="1"/>
    <xf numFmtId="0" fontId="7" fillId="0" borderId="4" xfId="0" applyFont="1" applyBorder="1" applyAlignment="1" applyProtection="1">
      <alignment horizontal="left" vertical="center"/>
      <protection locked="0"/>
    </xf>
    <xf numFmtId="0" fontId="5" fillId="2" borderId="2" xfId="2" applyFont="1" applyFill="1" applyBorder="1" applyAlignment="1">
      <alignment vertical="center"/>
    </xf>
    <xf numFmtId="0" fontId="5" fillId="2" borderId="3" xfId="2" applyFont="1" applyFill="1" applyBorder="1" applyAlignment="1">
      <alignment vertical="center"/>
    </xf>
    <xf numFmtId="0" fontId="3" fillId="0" borderId="2" xfId="2" applyFont="1" applyBorder="1" applyAlignment="1">
      <alignment vertical="center"/>
    </xf>
    <xf numFmtId="0" fontId="3" fillId="0" borderId="3" xfId="2" applyFont="1" applyBorder="1" applyAlignment="1">
      <alignment vertical="center"/>
    </xf>
    <xf numFmtId="0" fontId="4" fillId="3" borderId="2" xfId="2" applyFont="1" applyFill="1" applyBorder="1" applyAlignment="1">
      <alignment vertical="center"/>
    </xf>
    <xf numFmtId="0" fontId="4" fillId="3" borderId="3" xfId="2" applyFont="1" applyFill="1" applyBorder="1" applyAlignment="1">
      <alignment vertical="center"/>
    </xf>
    <xf numFmtId="0" fontId="12" fillId="6" borderId="13" xfId="4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Protection="1">
      <protection locked="0"/>
    </xf>
    <xf numFmtId="0" fontId="16" fillId="0" borderId="0" xfId="0" applyFont="1" applyAlignment="1" applyProtection="1">
      <alignment vertical="center"/>
      <protection locked="0"/>
    </xf>
    <xf numFmtId="0" fontId="16" fillId="0" borderId="0" xfId="0" applyFont="1" applyProtection="1">
      <protection locked="0"/>
    </xf>
    <xf numFmtId="0" fontId="17" fillId="5" borderId="12" xfId="3" applyFont="1" applyAlignment="1" applyProtection="1">
      <alignment horizontal="center" vertical="center"/>
      <protection locked="0"/>
    </xf>
    <xf numFmtId="0" fontId="18" fillId="6" borderId="13" xfId="4" applyFont="1" applyAlignment="1">
      <alignment horizontal="center" vertical="center"/>
    </xf>
    <xf numFmtId="0" fontId="19" fillId="0" borderId="0" xfId="0" applyFont="1"/>
    <xf numFmtId="0" fontId="19" fillId="4" borderId="1" xfId="2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4" borderId="1" xfId="2" applyFont="1" applyFill="1" applyBorder="1" applyAlignment="1">
      <alignment vertical="center"/>
    </xf>
    <xf numFmtId="0" fontId="16" fillId="0" borderId="8" xfId="0" applyFont="1" applyBorder="1" applyAlignment="1" applyProtection="1">
      <alignment horizontal="left" vertical="center" indent="1"/>
      <protection locked="0"/>
    </xf>
    <xf numFmtId="0" fontId="16" fillId="0" borderId="0" xfId="0" applyFont="1" applyAlignment="1" applyProtection="1">
      <alignment horizontal="left" vertical="center" indent="1"/>
      <protection locked="0"/>
    </xf>
    <xf numFmtId="0" fontId="16" fillId="0" borderId="0" xfId="0" applyFont="1" applyAlignment="1" applyProtection="1">
      <alignment horizontal="right" vertical="center"/>
      <protection locked="0"/>
    </xf>
    <xf numFmtId="0" fontId="16" fillId="0" borderId="4" xfId="0" applyFont="1" applyBorder="1" applyAlignment="1" applyProtection="1">
      <alignment vertical="center"/>
      <protection locked="0"/>
    </xf>
    <xf numFmtId="0" fontId="14" fillId="0" borderId="4" xfId="0" applyFont="1" applyBorder="1" applyAlignment="1" applyProtection="1">
      <alignment vertical="center"/>
      <protection locked="0"/>
    </xf>
    <xf numFmtId="0" fontId="3" fillId="0" borderId="9" xfId="0" applyFont="1" applyBorder="1"/>
    <xf numFmtId="0" fontId="3" fillId="0" borderId="10" xfId="0" applyFont="1" applyBorder="1"/>
    <xf numFmtId="0" fontId="16" fillId="0" borderId="10" xfId="0" applyFont="1" applyBorder="1" applyAlignment="1" applyProtection="1">
      <alignment horizontal="right" vertical="center"/>
      <protection locked="0"/>
    </xf>
    <xf numFmtId="0" fontId="3" fillId="0" borderId="11" xfId="0" applyFont="1" applyBorder="1" applyProtection="1">
      <protection locked="0"/>
    </xf>
    <xf numFmtId="0" fontId="17" fillId="5" borderId="12" xfId="3" applyFont="1" applyAlignment="1" applyProtection="1">
      <alignment vertical="center"/>
      <protection locked="0"/>
    </xf>
    <xf numFmtId="0" fontId="18" fillId="6" borderId="13" xfId="4" applyFont="1" applyAlignment="1" applyProtection="1">
      <alignment vertical="center"/>
      <protection locked="0"/>
    </xf>
    <xf numFmtId="0" fontId="6" fillId="0" borderId="4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 applyProtection="1">
      <alignment horizontal="left"/>
      <protection locked="0"/>
    </xf>
    <xf numFmtId="169" fontId="13" fillId="6" borderId="12" xfId="5" applyNumberFormat="1" applyAlignment="1">
      <alignment horizontal="center" vertical="center"/>
    </xf>
    <xf numFmtId="0" fontId="11" fillId="5" borderId="16" xfId="3" applyBorder="1" applyAlignment="1">
      <alignment horizontal="center" vertical="center"/>
    </xf>
    <xf numFmtId="0" fontId="13" fillId="6" borderId="17" xfId="5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169" fontId="11" fillId="5" borderId="12" xfId="3" applyNumberFormat="1" applyAlignment="1" applyProtection="1">
      <alignment horizontal="center" vertical="center"/>
      <protection locked="0"/>
    </xf>
    <xf numFmtId="169" fontId="12" fillId="6" borderId="13" xfId="4" applyNumberFormat="1" applyAlignment="1">
      <alignment horizontal="center" vertical="center"/>
    </xf>
    <xf numFmtId="169" fontId="0" fillId="0" borderId="14" xfId="0" applyNumberFormat="1" applyBorder="1" applyAlignment="1">
      <alignment horizontal="center" vertical="center"/>
    </xf>
    <xf numFmtId="169" fontId="13" fillId="6" borderId="19" xfId="5" applyNumberFormat="1" applyBorder="1" applyAlignment="1">
      <alignment horizontal="center" vertical="center"/>
    </xf>
    <xf numFmtId="169" fontId="11" fillId="5" borderId="1" xfId="3" applyNumberFormat="1" applyBorder="1" applyAlignment="1" applyProtection="1">
      <alignment horizontal="center" vertical="center"/>
      <protection locked="0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indent="1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/>
    <xf numFmtId="0" fontId="19" fillId="0" borderId="10" xfId="0" applyFont="1" applyBorder="1"/>
    <xf numFmtId="0" fontId="19" fillId="0" borderId="11" xfId="0" applyFont="1" applyBorder="1"/>
    <xf numFmtId="0" fontId="21" fillId="0" borderId="1" xfId="0" applyFont="1" applyBorder="1" applyAlignment="1">
      <alignment horizontal="center"/>
    </xf>
    <xf numFmtId="0" fontId="19" fillId="0" borderId="1" xfId="0" applyFont="1" applyBorder="1"/>
    <xf numFmtId="164" fontId="19" fillId="0" borderId="0" xfId="0" applyNumberFormat="1" applyFont="1"/>
    <xf numFmtId="164" fontId="19" fillId="0" borderId="1" xfId="0" applyNumberFormat="1" applyFont="1" applyBorder="1"/>
    <xf numFmtId="169" fontId="19" fillId="0" borderId="1" xfId="0" applyNumberFormat="1" applyFont="1" applyBorder="1"/>
    <xf numFmtId="0" fontId="11" fillId="5" borderId="1" xfId="3" applyBorder="1" applyAlignment="1">
      <alignment horizontal="center" vertical="center"/>
    </xf>
    <xf numFmtId="0" fontId="13" fillId="6" borderId="1" xfId="5" applyBorder="1" applyAlignment="1">
      <alignment horizontal="center" vertical="center"/>
    </xf>
    <xf numFmtId="0" fontId="12" fillId="6" borderId="1" xfId="4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 applyProtection="1">
      <alignment horizontal="center"/>
      <protection locked="0"/>
    </xf>
    <xf numFmtId="0" fontId="19" fillId="0" borderId="1" xfId="0" applyFont="1" applyBorder="1" applyAlignment="1">
      <alignment vertical="center"/>
    </xf>
    <xf numFmtId="165" fontId="19" fillId="0" borderId="1" xfId="0" applyNumberFormat="1" applyFont="1" applyBorder="1" applyAlignment="1">
      <alignment horizontal="center" vertical="center"/>
    </xf>
    <xf numFmtId="169" fontId="19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21" fillId="0" borderId="14" xfId="0" applyFont="1" applyBorder="1" applyAlignment="1">
      <alignment vertical="center"/>
    </xf>
    <xf numFmtId="169" fontId="19" fillId="0" borderId="14" xfId="0" applyNumberFormat="1" applyFont="1" applyBorder="1" applyAlignment="1">
      <alignment horizontal="center" vertical="center"/>
    </xf>
    <xf numFmtId="169" fontId="13" fillId="6" borderId="19" xfId="5" applyNumberFormat="1" applyBorder="1" applyAlignment="1">
      <alignment vertical="center"/>
    </xf>
    <xf numFmtId="164" fontId="19" fillId="0" borderId="14" xfId="0" applyNumberFormat="1" applyFont="1" applyBorder="1"/>
    <xf numFmtId="0" fontId="19" fillId="0" borderId="15" xfId="0" applyFont="1" applyBorder="1" applyAlignment="1">
      <alignment horizontal="center" vertical="center"/>
    </xf>
    <xf numFmtId="0" fontId="19" fillId="0" borderId="15" xfId="0" applyFont="1" applyBorder="1"/>
    <xf numFmtId="0" fontId="19" fillId="0" borderId="2" xfId="0" applyFont="1" applyBorder="1" applyAlignment="1">
      <alignment horizontal="center" vertical="center"/>
    </xf>
    <xf numFmtId="0" fontId="21" fillId="0" borderId="18" xfId="0" applyFont="1" applyBorder="1" applyAlignment="1">
      <alignment vertical="center"/>
    </xf>
    <xf numFmtId="169" fontId="19" fillId="0" borderId="18" xfId="0" applyNumberFormat="1" applyFont="1" applyBorder="1" applyAlignment="1">
      <alignment horizontal="center" vertical="center"/>
    </xf>
    <xf numFmtId="169" fontId="13" fillId="0" borderId="18" xfId="5" applyNumberFormat="1" applyFill="1" applyBorder="1" applyAlignment="1">
      <alignment horizontal="center" vertical="center"/>
    </xf>
    <xf numFmtId="169" fontId="13" fillId="0" borderId="18" xfId="5" applyNumberFormat="1" applyFill="1" applyBorder="1" applyAlignment="1">
      <alignment vertical="center"/>
    </xf>
    <xf numFmtId="164" fontId="19" fillId="0" borderId="3" xfId="0" applyNumberFormat="1" applyFont="1" applyBorder="1"/>
    <xf numFmtId="0" fontId="19" fillId="0" borderId="14" xfId="0" applyFont="1" applyBorder="1" applyAlignment="1">
      <alignment horizontal="center" vertical="center"/>
    </xf>
    <xf numFmtId="0" fontId="22" fillId="0" borderId="0" xfId="0" applyFont="1"/>
    <xf numFmtId="0" fontId="12" fillId="6" borderId="13" xfId="4" applyNumberFormat="1" applyAlignment="1">
      <alignment horizontal="center" vertical="center"/>
    </xf>
    <xf numFmtId="0" fontId="23" fillId="7" borderId="1" xfId="0" applyFont="1" applyFill="1" applyBorder="1" applyAlignment="1">
      <alignment vertical="center"/>
    </xf>
    <xf numFmtId="0" fontId="22" fillId="7" borderId="14" xfId="0" applyFont="1" applyFill="1" applyBorder="1" applyAlignment="1">
      <alignment horizontal="center" vertical="center"/>
    </xf>
    <xf numFmtId="169" fontId="23" fillId="7" borderId="1" xfId="0" applyNumberFormat="1" applyFont="1" applyFill="1" applyBorder="1" applyAlignment="1">
      <alignment horizontal="center" vertical="center"/>
    </xf>
    <xf numFmtId="164" fontId="22" fillId="7" borderId="1" xfId="0" applyNumberFormat="1" applyFont="1" applyFill="1" applyBorder="1"/>
    <xf numFmtId="0" fontId="16" fillId="0" borderId="0" xfId="0" applyFont="1" applyAlignment="1" applyProtection="1">
      <alignment horizontal="center" vertical="center"/>
      <protection locked="0"/>
    </xf>
    <xf numFmtId="169" fontId="19" fillId="0" borderId="0" xfId="0" applyNumberFormat="1" applyFont="1"/>
    <xf numFmtId="169" fontId="12" fillId="6" borderId="1" xfId="4" applyNumberFormat="1" applyBorder="1" applyAlignment="1">
      <alignment vertical="center"/>
    </xf>
    <xf numFmtId="165" fontId="0" fillId="0" borderId="1" xfId="0" applyNumberFormat="1" applyBorder="1" applyAlignment="1" applyProtection="1">
      <alignment horizontal="center" vertical="center"/>
      <protection locked="0"/>
    </xf>
    <xf numFmtId="166" fontId="0" fillId="0" borderId="1" xfId="1" applyNumberFormat="1" applyFont="1" applyBorder="1" applyAlignment="1" applyProtection="1">
      <alignment horizontal="center"/>
      <protection locked="0"/>
    </xf>
    <xf numFmtId="0" fontId="19" fillId="0" borderId="4" xfId="0" applyFont="1" applyBorder="1" applyProtection="1">
      <protection locked="0"/>
    </xf>
    <xf numFmtId="0" fontId="19" fillId="0" borderId="14" xfId="0" applyFont="1" applyBorder="1"/>
    <xf numFmtId="165" fontId="19" fillId="0" borderId="14" xfId="0" applyNumberFormat="1" applyFont="1" applyBorder="1" applyAlignment="1">
      <alignment horizontal="center" vertical="center"/>
    </xf>
    <xf numFmtId="164" fontId="13" fillId="6" borderId="12" xfId="5" applyNumberFormat="1" applyAlignment="1">
      <alignment horizontal="center" vertical="center"/>
    </xf>
    <xf numFmtId="10" fontId="19" fillId="0" borderId="1" xfId="0" applyNumberFormat="1" applyFont="1" applyBorder="1" applyAlignment="1">
      <alignment horizontal="center" vertical="center"/>
    </xf>
    <xf numFmtId="10" fontId="19" fillId="0" borderId="14" xfId="0" applyNumberFormat="1" applyFont="1" applyBorder="1" applyAlignment="1">
      <alignment horizontal="center" vertical="center"/>
    </xf>
    <xf numFmtId="2" fontId="19" fillId="0" borderId="0" xfId="0" applyNumberFormat="1" applyFont="1"/>
    <xf numFmtId="2" fontId="22" fillId="0" borderId="0" xfId="0" applyNumberFormat="1" applyFont="1"/>
    <xf numFmtId="169" fontId="13" fillId="6" borderId="16" xfId="5" applyNumberForma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9" fontId="13" fillId="6" borderId="17" xfId="5" applyNumberFormat="1" applyBorder="1" applyAlignment="1">
      <alignment vertical="center"/>
    </xf>
    <xf numFmtId="169" fontId="24" fillId="6" borderId="13" xfId="4" applyNumberFormat="1" applyFont="1" applyAlignment="1">
      <alignment vertical="center"/>
    </xf>
    <xf numFmtId="169" fontId="25" fillId="6" borderId="16" xfId="5" applyNumberFormat="1" applyFont="1" applyBorder="1" applyAlignment="1">
      <alignment horizontal="center" vertical="center"/>
    </xf>
    <xf numFmtId="10" fontId="12" fillId="6" borderId="1" xfId="4" applyNumberFormat="1" applyBorder="1" applyAlignment="1">
      <alignment vertical="center"/>
    </xf>
    <xf numFmtId="170" fontId="22" fillId="7" borderId="1" xfId="0" applyNumberFormat="1" applyFont="1" applyFill="1" applyBorder="1"/>
    <xf numFmtId="0" fontId="21" fillId="8" borderId="2" xfId="0" applyFont="1" applyFill="1" applyBorder="1" applyAlignment="1">
      <alignment horizontal="center"/>
    </xf>
    <xf numFmtId="0" fontId="21" fillId="8" borderId="18" xfId="0" applyFont="1" applyFill="1" applyBorder="1" applyAlignment="1">
      <alignment horizontal="center"/>
    </xf>
    <xf numFmtId="0" fontId="21" fillId="8" borderId="3" xfId="0" applyFont="1" applyFill="1" applyBorder="1" applyAlignment="1">
      <alignment horizontal="center"/>
    </xf>
    <xf numFmtId="169" fontId="13" fillId="6" borderId="12" xfId="5" applyNumberFormat="1" applyAlignment="1" applyProtection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9" fontId="11" fillId="5" borderId="26" xfId="3" applyNumberFormat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left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169" fontId="12" fillId="6" borderId="24" xfId="4" applyNumberFormat="1" applyBorder="1" applyAlignment="1">
      <alignment horizontal="center" vertical="center"/>
    </xf>
    <xf numFmtId="169" fontId="12" fillId="6" borderId="25" xfId="4" applyNumberFormat="1" applyBorder="1" applyAlignment="1">
      <alignment horizontal="center" vertical="center"/>
    </xf>
    <xf numFmtId="0" fontId="2" fillId="0" borderId="20" xfId="0" applyFont="1" applyBorder="1" applyAlignment="1">
      <alignment horizontal="right" vertical="center"/>
    </xf>
    <xf numFmtId="0" fontId="2" fillId="0" borderId="21" xfId="0" applyFont="1" applyBorder="1" applyAlignment="1">
      <alignment horizontal="right" vertical="center"/>
    </xf>
    <xf numFmtId="0" fontId="2" fillId="0" borderId="23" xfId="0" applyFont="1" applyBorder="1" applyAlignment="1">
      <alignment horizontal="right" vertical="center"/>
    </xf>
    <xf numFmtId="0" fontId="2" fillId="0" borderId="24" xfId="0" applyFont="1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69" fontId="12" fillId="6" borderId="21" xfId="4" applyNumberFormat="1" applyBorder="1" applyAlignment="1">
      <alignment horizontal="center" vertical="center"/>
    </xf>
    <xf numFmtId="169" fontId="12" fillId="6" borderId="22" xfId="4" applyNumberFormat="1" applyBorder="1" applyAlignment="1">
      <alignment horizontal="center" vertical="center"/>
    </xf>
    <xf numFmtId="0" fontId="3" fillId="0" borderId="0" xfId="0" applyFont="1" applyAlignment="1" applyProtection="1">
      <alignment horizontal="center"/>
      <protection locked="0"/>
    </xf>
    <xf numFmtId="14" fontId="3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3" xfId="0" applyFont="1" applyBorder="1" applyAlignment="1" applyProtection="1">
      <alignment horizontal="center"/>
      <protection locked="0"/>
    </xf>
    <xf numFmtId="0" fontId="21" fillId="0" borderId="1" xfId="0" applyFont="1" applyBorder="1" applyAlignment="1">
      <alignment horizontal="center"/>
    </xf>
    <xf numFmtId="0" fontId="23" fillId="0" borderId="2" xfId="0" applyFont="1" applyBorder="1" applyAlignment="1">
      <alignment horizontal="right" vertical="center"/>
    </xf>
    <xf numFmtId="0" fontId="23" fillId="0" borderId="18" xfId="0" applyFont="1" applyBorder="1" applyAlignment="1">
      <alignment horizontal="right" vertical="center"/>
    </xf>
    <xf numFmtId="0" fontId="23" fillId="0" borderId="3" xfId="0" applyFont="1" applyBorder="1" applyAlignment="1">
      <alignment horizontal="right" vertical="center"/>
    </xf>
    <xf numFmtId="0" fontId="21" fillId="0" borderId="9" xfId="0" applyFont="1" applyBorder="1" applyAlignment="1">
      <alignment horizontal="right" vertical="center"/>
    </xf>
    <xf numFmtId="0" fontId="21" fillId="0" borderId="10" xfId="0" applyFont="1" applyBorder="1" applyAlignment="1">
      <alignment horizontal="right" vertical="center"/>
    </xf>
    <xf numFmtId="0" fontId="21" fillId="0" borderId="27" xfId="0" applyFont="1" applyBorder="1" applyAlignment="1">
      <alignment horizontal="right" vertical="center"/>
    </xf>
    <xf numFmtId="0" fontId="21" fillId="0" borderId="2" xfId="0" applyFont="1" applyBorder="1" applyAlignment="1">
      <alignment horizontal="right" vertical="center"/>
    </xf>
    <xf numFmtId="0" fontId="21" fillId="0" borderId="18" xfId="0" applyFont="1" applyBorder="1" applyAlignment="1">
      <alignment horizontal="right" vertical="center"/>
    </xf>
    <xf numFmtId="0" fontId="21" fillId="0" borderId="3" xfId="0" applyFont="1" applyBorder="1" applyAlignment="1">
      <alignment horizontal="right" vertical="center"/>
    </xf>
  </cellXfs>
  <cellStyles count="6">
    <cellStyle name="Normal 2" xfId="2" xr:uid="{C52E77DF-EDB5-4C22-BDAB-F524ACB7FF6F}"/>
    <cellStyle name="Percent" xfId="1" builtinId="5"/>
    <cellStyle name="إخراج" xfId="4" builtinId="21"/>
    <cellStyle name="إدخال" xfId="3" builtinId="20"/>
    <cellStyle name="حساب" xfId="5" builtinId="22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35"/>
  <sheetViews>
    <sheetView showGridLines="0" zoomScale="85" zoomScaleNormal="85" workbookViewId="0">
      <selection activeCell="A17" sqref="A17"/>
    </sheetView>
  </sheetViews>
  <sheetFormatPr defaultColWidth="9.09765625" defaultRowHeight="15.6" x14ac:dyDescent="0.3"/>
  <cols>
    <col min="1" max="1" width="39.69921875" style="1" customWidth="1"/>
    <col min="2" max="2" width="14.3984375" style="1" customWidth="1"/>
    <col min="3" max="3" width="23" style="1" customWidth="1"/>
    <col min="4" max="4" width="55" style="1" customWidth="1"/>
    <col min="5" max="16384" width="9.09765625" style="1"/>
  </cols>
  <sheetData>
    <row r="1" spans="1:15" s="29" customFormat="1" ht="27.75" customHeight="1" x14ac:dyDescent="0.3">
      <c r="A1" s="126" t="s">
        <v>43</v>
      </c>
      <c r="B1" s="127"/>
      <c r="C1" s="127"/>
      <c r="D1" s="128"/>
      <c r="G1" s="30"/>
      <c r="K1" s="133"/>
      <c r="L1" s="133"/>
      <c r="M1" s="133"/>
      <c r="N1" s="133"/>
      <c r="O1" s="133"/>
    </row>
    <row r="2" spans="1:15" s="29" customFormat="1" ht="24.9" customHeight="1" x14ac:dyDescent="0.3">
      <c r="A2" s="39" t="s">
        <v>33</v>
      </c>
      <c r="B2" s="40"/>
      <c r="C2" s="41" t="s">
        <v>80</v>
      </c>
      <c r="D2" s="42"/>
      <c r="E2" s="31"/>
      <c r="F2" s="32"/>
      <c r="L2" s="131"/>
      <c r="M2" s="131"/>
      <c r="N2" s="132"/>
      <c r="O2" s="132"/>
    </row>
    <row r="3" spans="1:15" s="29" customFormat="1" ht="22.5" customHeight="1" x14ac:dyDescent="0.25">
      <c r="A3" s="39" t="s">
        <v>35</v>
      </c>
      <c r="B3" s="31" t="s">
        <v>36</v>
      </c>
      <c r="C3" s="41" t="s">
        <v>34</v>
      </c>
      <c r="D3" s="43"/>
      <c r="E3" s="31"/>
      <c r="F3" s="31"/>
      <c r="G3" s="31" t="s">
        <v>85</v>
      </c>
      <c r="H3" s="48"/>
      <c r="L3" s="131"/>
      <c r="M3" s="131"/>
      <c r="N3" s="132"/>
      <c r="O3" s="132"/>
    </row>
    <row r="4" spans="1:15" s="29" customFormat="1" ht="22.5" customHeight="1" x14ac:dyDescent="0.25">
      <c r="A4" s="39"/>
      <c r="B4" s="31"/>
      <c r="C4" s="41" t="s">
        <v>37</v>
      </c>
      <c r="D4" s="43"/>
      <c r="E4" s="31"/>
      <c r="F4" s="31"/>
      <c r="G4" s="31" t="s">
        <v>86</v>
      </c>
      <c r="H4" s="49"/>
      <c r="L4" s="131"/>
      <c r="M4" s="131"/>
      <c r="N4" s="132"/>
      <c r="O4" s="132"/>
    </row>
    <row r="5" spans="1:15" ht="16.5" customHeight="1" x14ac:dyDescent="0.3">
      <c r="A5" s="44"/>
      <c r="B5" s="45"/>
      <c r="C5" s="46"/>
      <c r="D5" s="47"/>
      <c r="E5" s="31"/>
    </row>
    <row r="6" spans="1:15" s="5" customFormat="1" x14ac:dyDescent="0.3">
      <c r="A6" s="22" t="s">
        <v>29</v>
      </c>
      <c r="B6" s="23"/>
      <c r="C6" s="4" t="s">
        <v>23</v>
      </c>
      <c r="D6" s="4" t="s">
        <v>0</v>
      </c>
    </row>
    <row r="7" spans="1:15" ht="15.9" customHeight="1" x14ac:dyDescent="0.3">
      <c r="A7" s="24" t="s">
        <v>44</v>
      </c>
      <c r="B7" s="25"/>
      <c r="C7" s="33" t="s">
        <v>81</v>
      </c>
      <c r="D7" s="2"/>
    </row>
    <row r="8" spans="1:15" ht="15.9" customHeight="1" x14ac:dyDescent="0.3">
      <c r="A8" s="24" t="s">
        <v>1</v>
      </c>
      <c r="B8" s="25"/>
      <c r="C8" s="33"/>
      <c r="D8" s="2"/>
    </row>
    <row r="9" spans="1:15" ht="15.9" customHeight="1" x14ac:dyDescent="0.3">
      <c r="A9" s="24" t="s">
        <v>2</v>
      </c>
      <c r="B9" s="25"/>
      <c r="C9" s="33"/>
      <c r="D9" s="2"/>
    </row>
    <row r="10" spans="1:15" ht="15.9" customHeight="1" x14ac:dyDescent="0.3">
      <c r="A10" s="24" t="s">
        <v>3</v>
      </c>
      <c r="B10" s="25"/>
      <c r="C10" s="33"/>
      <c r="D10" s="2" t="s">
        <v>4</v>
      </c>
    </row>
    <row r="11" spans="1:15" ht="15.9" customHeight="1" x14ac:dyDescent="0.3">
      <c r="A11" s="24" t="s">
        <v>5</v>
      </c>
      <c r="B11" s="25"/>
      <c r="C11" s="33"/>
      <c r="D11" s="2" t="s">
        <v>24</v>
      </c>
    </row>
    <row r="12" spans="1:15" ht="15.9" customHeight="1" x14ac:dyDescent="0.3">
      <c r="A12" s="24" t="s">
        <v>6</v>
      </c>
      <c r="B12" s="25"/>
      <c r="C12" s="34">
        <f>C8/5</f>
        <v>0</v>
      </c>
      <c r="D12" s="2" t="s">
        <v>7</v>
      </c>
    </row>
    <row r="13" spans="1:15" ht="15.9" customHeight="1" x14ac:dyDescent="0.3">
      <c r="A13" s="24" t="s">
        <v>8</v>
      </c>
      <c r="B13" s="25"/>
      <c r="C13" s="33"/>
      <c r="D13" s="2" t="s">
        <v>9</v>
      </c>
    </row>
    <row r="14" spans="1:15" ht="9" customHeight="1" x14ac:dyDescent="0.3">
      <c r="A14" s="24"/>
      <c r="B14" s="25"/>
      <c r="C14" s="35"/>
      <c r="D14" s="2"/>
    </row>
    <row r="15" spans="1:15" s="5" customFormat="1" x14ac:dyDescent="0.3">
      <c r="A15" s="22" t="s">
        <v>10</v>
      </c>
      <c r="B15" s="23"/>
      <c r="C15" s="4" t="s">
        <v>30</v>
      </c>
      <c r="D15" s="4" t="s">
        <v>0</v>
      </c>
    </row>
    <row r="16" spans="1:15" ht="15.9" customHeight="1" x14ac:dyDescent="0.3">
      <c r="A16" s="24" t="s">
        <v>25</v>
      </c>
      <c r="B16" s="25"/>
      <c r="C16" s="34" t="e">
        <f>C8/(C10*20)</f>
        <v>#DIV/0!</v>
      </c>
      <c r="D16" s="2" t="s">
        <v>11</v>
      </c>
    </row>
    <row r="17" spans="1:4" ht="15.9" customHeight="1" x14ac:dyDescent="0.3">
      <c r="A17" s="24" t="s">
        <v>12</v>
      </c>
      <c r="B17" s="25"/>
      <c r="C17" s="33"/>
      <c r="D17" s="2"/>
    </row>
    <row r="18" spans="1:4" ht="15.9" customHeight="1" x14ac:dyDescent="0.3">
      <c r="A18" s="24" t="s">
        <v>13</v>
      </c>
      <c r="B18" s="25"/>
      <c r="C18" s="34" t="e">
        <f>(C8/(5*C10))+1</f>
        <v>#DIV/0!</v>
      </c>
      <c r="D18" s="2" t="s">
        <v>14</v>
      </c>
    </row>
    <row r="19" spans="1:4" ht="15.9" customHeight="1" x14ac:dyDescent="0.3">
      <c r="A19" s="24" t="s">
        <v>15</v>
      </c>
      <c r="B19" s="25"/>
      <c r="C19" s="34" t="e">
        <f>1.5/C10</f>
        <v>#DIV/0!</v>
      </c>
      <c r="D19" s="2" t="s">
        <v>16</v>
      </c>
    </row>
    <row r="20" spans="1:4" ht="15.9" customHeight="1" x14ac:dyDescent="0.3">
      <c r="A20" s="24" t="s">
        <v>17</v>
      </c>
      <c r="B20" s="25"/>
      <c r="C20" s="34" t="e">
        <f>1.5/C10</f>
        <v>#DIV/0!</v>
      </c>
      <c r="D20" s="2" t="s">
        <v>16</v>
      </c>
    </row>
    <row r="21" spans="1:4" ht="15.9" customHeight="1" x14ac:dyDescent="0.3">
      <c r="A21" s="24" t="s">
        <v>26</v>
      </c>
      <c r="B21" s="25"/>
      <c r="C21" s="34" t="e">
        <f>(2*C8*C13)/(C10*175)</f>
        <v>#DIV/0!</v>
      </c>
      <c r="D21" s="2" t="s">
        <v>18</v>
      </c>
    </row>
    <row r="22" spans="1:4" ht="15.9" customHeight="1" x14ac:dyDescent="0.3">
      <c r="A22" s="24" t="s">
        <v>19</v>
      </c>
      <c r="B22" s="25"/>
      <c r="C22" s="34" t="e">
        <f>1.5/C10</f>
        <v>#DIV/0!</v>
      </c>
      <c r="D22" s="2" t="s">
        <v>16</v>
      </c>
    </row>
    <row r="23" spans="1:4" ht="15.9" customHeight="1" x14ac:dyDescent="0.3">
      <c r="A23" s="24" t="s">
        <v>20</v>
      </c>
      <c r="B23" s="25"/>
      <c r="C23" s="34" t="e">
        <f>C9/C10</f>
        <v>#DIV/0!</v>
      </c>
      <c r="D23" s="2" t="s">
        <v>31</v>
      </c>
    </row>
    <row r="24" spans="1:4" ht="15.9" customHeight="1" x14ac:dyDescent="0.3">
      <c r="A24" s="24" t="s">
        <v>27</v>
      </c>
      <c r="B24" s="25"/>
      <c r="C24" s="33"/>
      <c r="D24" s="2"/>
    </row>
    <row r="25" spans="1:4" ht="15.9" customHeight="1" x14ac:dyDescent="0.3">
      <c r="A25" s="24" t="s">
        <v>21</v>
      </c>
      <c r="B25" s="25"/>
      <c r="C25" s="33"/>
      <c r="D25" s="2"/>
    </row>
    <row r="26" spans="1:4" ht="15.9" customHeight="1" x14ac:dyDescent="0.3">
      <c r="A26" s="24" t="s">
        <v>32</v>
      </c>
      <c r="B26" s="25"/>
      <c r="C26" s="33"/>
      <c r="D26" s="2"/>
    </row>
    <row r="27" spans="1:4" ht="15.9" customHeight="1" x14ac:dyDescent="0.3">
      <c r="A27" s="24" t="s">
        <v>22</v>
      </c>
      <c r="B27" s="25"/>
      <c r="C27" s="33"/>
      <c r="D27" s="2"/>
    </row>
    <row r="28" spans="1:4" ht="15.9" customHeight="1" x14ac:dyDescent="0.3">
      <c r="A28" s="24" t="s">
        <v>28</v>
      </c>
      <c r="B28" s="25"/>
      <c r="C28" s="33"/>
      <c r="D28" s="2"/>
    </row>
    <row r="29" spans="1:4" ht="15.9" customHeight="1" x14ac:dyDescent="0.3">
      <c r="A29" s="26" t="s">
        <v>38</v>
      </c>
      <c r="B29" s="27"/>
      <c r="C29" s="3" t="e">
        <f>SUM(C16:C28)</f>
        <v>#DIV/0!</v>
      </c>
      <c r="D29" s="2"/>
    </row>
    <row r="30" spans="1:4" ht="15.9" customHeight="1" x14ac:dyDescent="0.3"/>
    <row r="31" spans="1:4" x14ac:dyDescent="0.3">
      <c r="A31" s="36" t="s">
        <v>39</v>
      </c>
      <c r="C31" s="3" t="e">
        <f>C29/C11</f>
        <v>#DIV/0!</v>
      </c>
    </row>
    <row r="32" spans="1:4" x14ac:dyDescent="0.3">
      <c r="A32" s="36" t="s">
        <v>40</v>
      </c>
      <c r="C32" s="33"/>
    </row>
    <row r="33" spans="1:3" x14ac:dyDescent="0.3">
      <c r="A33" s="36" t="s">
        <v>41</v>
      </c>
      <c r="C33" s="33"/>
    </row>
    <row r="34" spans="1:3" x14ac:dyDescent="0.3">
      <c r="A34" s="37"/>
      <c r="C34" s="37"/>
    </row>
    <row r="35" spans="1:3" x14ac:dyDescent="0.3">
      <c r="A35" s="38" t="s">
        <v>42</v>
      </c>
      <c r="C35" s="3" t="e">
        <f>C31*C33/C32</f>
        <v>#DIV/0!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A1:D1"/>
    <mergeCell ref="L4:M4"/>
    <mergeCell ref="N4:O4"/>
    <mergeCell ref="K1:O1"/>
    <mergeCell ref="L2:M2"/>
    <mergeCell ref="N2:O2"/>
    <mergeCell ref="L3:M3"/>
    <mergeCell ref="N3:O3"/>
  </mergeCells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5248B-F01A-46D1-8A1F-126F3E437267}">
  <sheetPr codeName="Sheet2"/>
  <dimension ref="A1:O35"/>
  <sheetViews>
    <sheetView showGridLines="0" topLeftCell="A4" zoomScale="85" zoomScaleNormal="85" workbookViewId="0">
      <selection activeCell="C16" sqref="C16"/>
    </sheetView>
  </sheetViews>
  <sheetFormatPr defaultColWidth="9.09765625" defaultRowHeight="15.6" x14ac:dyDescent="0.3"/>
  <cols>
    <col min="1" max="1" width="39.69921875" style="1" customWidth="1"/>
    <col min="2" max="2" width="14.3984375" style="1" customWidth="1"/>
    <col min="3" max="3" width="23" style="1" customWidth="1"/>
    <col min="4" max="4" width="55" style="1" customWidth="1"/>
    <col min="5" max="16384" width="9.09765625" style="1"/>
  </cols>
  <sheetData>
    <row r="1" spans="1:15" s="29" customFormat="1" ht="27.75" customHeight="1" x14ac:dyDescent="0.3">
      <c r="A1" s="126" t="s">
        <v>43</v>
      </c>
      <c r="B1" s="127"/>
      <c r="C1" s="127"/>
      <c r="D1" s="128"/>
      <c r="G1" s="30"/>
      <c r="K1" s="133"/>
      <c r="L1" s="133"/>
      <c r="M1" s="133"/>
      <c r="N1" s="133"/>
      <c r="O1" s="133"/>
    </row>
    <row r="2" spans="1:15" s="29" customFormat="1" ht="24.9" customHeight="1" x14ac:dyDescent="0.3">
      <c r="A2" s="39" t="s">
        <v>33</v>
      </c>
      <c r="B2" s="40"/>
      <c r="C2" s="41" t="s">
        <v>80</v>
      </c>
      <c r="D2" s="42"/>
      <c r="E2" s="31"/>
      <c r="F2" s="32"/>
      <c r="L2" s="131"/>
      <c r="M2" s="131"/>
      <c r="N2" s="132"/>
      <c r="O2" s="132"/>
    </row>
    <row r="3" spans="1:15" s="29" customFormat="1" ht="22.5" customHeight="1" x14ac:dyDescent="0.25">
      <c r="A3" s="39" t="s">
        <v>35</v>
      </c>
      <c r="B3" s="31" t="s">
        <v>36</v>
      </c>
      <c r="C3" s="41" t="s">
        <v>34</v>
      </c>
      <c r="D3" s="43"/>
      <c r="E3" s="31"/>
      <c r="F3" s="31"/>
      <c r="G3" s="31" t="s">
        <v>85</v>
      </c>
      <c r="H3" s="48"/>
      <c r="L3" s="131"/>
      <c r="M3" s="131"/>
      <c r="N3" s="132"/>
      <c r="O3" s="132"/>
    </row>
    <row r="4" spans="1:15" s="29" customFormat="1" ht="22.5" customHeight="1" x14ac:dyDescent="0.25">
      <c r="A4" s="39"/>
      <c r="B4" s="31"/>
      <c r="C4" s="41" t="s">
        <v>37</v>
      </c>
      <c r="D4" s="43"/>
      <c r="E4" s="31"/>
      <c r="F4" s="31"/>
      <c r="G4" s="31" t="s">
        <v>86</v>
      </c>
      <c r="H4" s="49"/>
      <c r="L4" s="131"/>
      <c r="M4" s="131"/>
      <c r="N4" s="132"/>
      <c r="O4" s="132"/>
    </row>
    <row r="5" spans="1:15" ht="16.5" customHeight="1" x14ac:dyDescent="0.3">
      <c r="A5" s="44"/>
      <c r="B5" s="45"/>
      <c r="C5" s="46"/>
      <c r="D5" s="47"/>
      <c r="E5" s="31"/>
    </row>
    <row r="6" spans="1:15" s="5" customFormat="1" x14ac:dyDescent="0.3">
      <c r="A6" s="22" t="s">
        <v>29</v>
      </c>
      <c r="B6" s="23"/>
      <c r="C6" s="4" t="s">
        <v>23</v>
      </c>
      <c r="D6" s="4" t="s">
        <v>0</v>
      </c>
    </row>
    <row r="7" spans="1:15" ht="15.9" customHeight="1" x14ac:dyDescent="0.3">
      <c r="A7" s="24" t="s">
        <v>44</v>
      </c>
      <c r="B7" s="25"/>
      <c r="C7" s="33" t="s">
        <v>82</v>
      </c>
      <c r="D7" s="2"/>
    </row>
    <row r="8" spans="1:15" ht="15.9" customHeight="1" x14ac:dyDescent="0.3">
      <c r="A8" s="24" t="s">
        <v>1</v>
      </c>
      <c r="B8" s="25"/>
      <c r="C8" s="33"/>
      <c r="D8" s="2"/>
    </row>
    <row r="9" spans="1:15" ht="15.9" customHeight="1" x14ac:dyDescent="0.3">
      <c r="A9" s="24" t="s">
        <v>2</v>
      </c>
      <c r="B9" s="25"/>
      <c r="C9" s="33"/>
      <c r="D9" s="2"/>
    </row>
    <row r="10" spans="1:15" ht="15.9" customHeight="1" x14ac:dyDescent="0.3">
      <c r="A10" s="24" t="s">
        <v>3</v>
      </c>
      <c r="B10" s="25"/>
      <c r="C10" s="33"/>
      <c r="D10" s="2" t="s">
        <v>4</v>
      </c>
    </row>
    <row r="11" spans="1:15" ht="15.9" customHeight="1" x14ac:dyDescent="0.3">
      <c r="A11" s="24" t="s">
        <v>5</v>
      </c>
      <c r="B11" s="25"/>
      <c r="C11" s="33"/>
      <c r="D11" s="2" t="s">
        <v>24</v>
      </c>
    </row>
    <row r="12" spans="1:15" ht="15.9" customHeight="1" x14ac:dyDescent="0.3">
      <c r="A12" s="24" t="s">
        <v>6</v>
      </c>
      <c r="B12" s="25"/>
      <c r="C12" s="34">
        <f>C8/5</f>
        <v>0</v>
      </c>
      <c r="D12" s="2" t="s">
        <v>7</v>
      </c>
    </row>
    <row r="13" spans="1:15" ht="15.9" customHeight="1" x14ac:dyDescent="0.3">
      <c r="A13" s="24" t="s">
        <v>8</v>
      </c>
      <c r="B13" s="25"/>
      <c r="C13" s="33"/>
      <c r="D13" s="2" t="s">
        <v>9</v>
      </c>
    </row>
    <row r="14" spans="1:15" ht="9" customHeight="1" x14ac:dyDescent="0.3">
      <c r="A14" s="24"/>
      <c r="B14" s="25"/>
      <c r="C14" s="35"/>
      <c r="D14" s="2"/>
    </row>
    <row r="15" spans="1:15" s="5" customFormat="1" x14ac:dyDescent="0.3">
      <c r="A15" s="22" t="s">
        <v>10</v>
      </c>
      <c r="B15" s="23"/>
      <c r="C15" s="4" t="s">
        <v>30</v>
      </c>
      <c r="D15" s="4" t="s">
        <v>0</v>
      </c>
    </row>
    <row r="16" spans="1:15" ht="15.9" customHeight="1" x14ac:dyDescent="0.3">
      <c r="A16" s="24" t="s">
        <v>25</v>
      </c>
      <c r="B16" s="25"/>
      <c r="C16" s="34" t="e">
        <f>C8/(C10*20)</f>
        <v>#DIV/0!</v>
      </c>
      <c r="D16" s="2" t="s">
        <v>11</v>
      </c>
    </row>
    <row r="17" spans="1:4" ht="15.9" customHeight="1" x14ac:dyDescent="0.3">
      <c r="A17" s="24" t="s">
        <v>12</v>
      </c>
      <c r="B17" s="25"/>
      <c r="C17" s="33"/>
      <c r="D17" s="2"/>
    </row>
    <row r="18" spans="1:4" ht="15.9" customHeight="1" x14ac:dyDescent="0.3">
      <c r="A18" s="24" t="s">
        <v>13</v>
      </c>
      <c r="B18" s="25"/>
      <c r="C18" s="34" t="e">
        <f>(C8/(5*C10))+1</f>
        <v>#DIV/0!</v>
      </c>
      <c r="D18" s="2" t="s">
        <v>14</v>
      </c>
    </row>
    <row r="19" spans="1:4" ht="15.9" customHeight="1" x14ac:dyDescent="0.3">
      <c r="A19" s="24" t="s">
        <v>15</v>
      </c>
      <c r="B19" s="25"/>
      <c r="C19" s="34" t="e">
        <f>1.5/C10</f>
        <v>#DIV/0!</v>
      </c>
      <c r="D19" s="2" t="s">
        <v>16</v>
      </c>
    </row>
    <row r="20" spans="1:4" ht="15.9" customHeight="1" x14ac:dyDescent="0.3">
      <c r="A20" s="24" t="s">
        <v>17</v>
      </c>
      <c r="B20" s="25"/>
      <c r="C20" s="34" t="e">
        <f>1.5/C10</f>
        <v>#DIV/0!</v>
      </c>
      <c r="D20" s="2" t="s">
        <v>16</v>
      </c>
    </row>
    <row r="21" spans="1:4" ht="15.9" customHeight="1" x14ac:dyDescent="0.3">
      <c r="A21" s="24" t="s">
        <v>26</v>
      </c>
      <c r="B21" s="25"/>
      <c r="C21" s="34" t="e">
        <f>(2*C8*C13)/(C10*175)</f>
        <v>#DIV/0!</v>
      </c>
      <c r="D21" s="2" t="s">
        <v>18</v>
      </c>
    </row>
    <row r="22" spans="1:4" ht="15.9" customHeight="1" x14ac:dyDescent="0.3">
      <c r="A22" s="24" t="s">
        <v>19</v>
      </c>
      <c r="B22" s="25"/>
      <c r="C22" s="34" t="e">
        <f>1.5/C10</f>
        <v>#DIV/0!</v>
      </c>
      <c r="D22" s="2" t="s">
        <v>16</v>
      </c>
    </row>
    <row r="23" spans="1:4" ht="15.9" customHeight="1" x14ac:dyDescent="0.3">
      <c r="A23" s="24" t="s">
        <v>20</v>
      </c>
      <c r="B23" s="25"/>
      <c r="C23" s="34" t="e">
        <f>C9/C10</f>
        <v>#DIV/0!</v>
      </c>
      <c r="D23" s="2" t="s">
        <v>31</v>
      </c>
    </row>
    <row r="24" spans="1:4" ht="15.9" customHeight="1" x14ac:dyDescent="0.3">
      <c r="A24" s="24" t="s">
        <v>27</v>
      </c>
      <c r="B24" s="25"/>
      <c r="C24" s="33"/>
      <c r="D24" s="2"/>
    </row>
    <row r="25" spans="1:4" ht="15.9" customHeight="1" x14ac:dyDescent="0.3">
      <c r="A25" s="24" t="s">
        <v>21</v>
      </c>
      <c r="B25" s="25"/>
      <c r="C25" s="33"/>
      <c r="D25" s="2"/>
    </row>
    <row r="26" spans="1:4" ht="15.9" customHeight="1" x14ac:dyDescent="0.3">
      <c r="A26" s="24" t="s">
        <v>32</v>
      </c>
      <c r="B26" s="25"/>
      <c r="C26" s="33"/>
      <c r="D26" s="2"/>
    </row>
    <row r="27" spans="1:4" ht="15.9" customHeight="1" x14ac:dyDescent="0.3">
      <c r="A27" s="24" t="s">
        <v>22</v>
      </c>
      <c r="B27" s="25"/>
      <c r="C27" s="33"/>
      <c r="D27" s="2"/>
    </row>
    <row r="28" spans="1:4" ht="15.9" customHeight="1" x14ac:dyDescent="0.3">
      <c r="A28" s="24" t="s">
        <v>28</v>
      </c>
      <c r="B28" s="25"/>
      <c r="C28" s="33"/>
      <c r="D28" s="2"/>
    </row>
    <row r="29" spans="1:4" ht="15.9" customHeight="1" x14ac:dyDescent="0.3">
      <c r="A29" s="26" t="s">
        <v>38</v>
      </c>
      <c r="B29" s="27"/>
      <c r="C29" s="3" t="e">
        <f>SUM(C16:C28)</f>
        <v>#DIV/0!</v>
      </c>
      <c r="D29" s="2"/>
    </row>
    <row r="30" spans="1:4" ht="15.9" customHeight="1" x14ac:dyDescent="0.3"/>
    <row r="31" spans="1:4" x14ac:dyDescent="0.3">
      <c r="A31" s="36" t="s">
        <v>39</v>
      </c>
      <c r="C31" s="3" t="e">
        <f>C29/C11</f>
        <v>#DIV/0!</v>
      </c>
    </row>
    <row r="32" spans="1:4" x14ac:dyDescent="0.3">
      <c r="A32" s="36" t="s">
        <v>40</v>
      </c>
      <c r="C32" s="33"/>
    </row>
    <row r="33" spans="1:3" x14ac:dyDescent="0.3">
      <c r="A33" s="36" t="s">
        <v>41</v>
      </c>
      <c r="C33" s="33"/>
    </row>
    <row r="34" spans="1:3" x14ac:dyDescent="0.3">
      <c r="A34" s="37"/>
      <c r="C34" s="37"/>
    </row>
    <row r="35" spans="1:3" x14ac:dyDescent="0.3">
      <c r="A35" s="38" t="s">
        <v>42</v>
      </c>
      <c r="C35" s="3" t="e">
        <f>C31*C33/C32</f>
        <v>#DIV/0!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L4:M4"/>
    <mergeCell ref="N4:O4"/>
    <mergeCell ref="A1:D1"/>
    <mergeCell ref="K1:O1"/>
    <mergeCell ref="L2:M2"/>
    <mergeCell ref="N2:O2"/>
    <mergeCell ref="L3:M3"/>
    <mergeCell ref="N3:O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3324C-E1EC-4D49-8752-CFAE4CAB8DB1}">
  <sheetPr codeName="Sheet3"/>
  <dimension ref="A1:O35"/>
  <sheetViews>
    <sheetView showGridLines="0" zoomScale="85" zoomScaleNormal="85" workbookViewId="0">
      <selection activeCell="D15" sqref="D15"/>
    </sheetView>
  </sheetViews>
  <sheetFormatPr defaultColWidth="9.09765625" defaultRowHeight="15.6" x14ac:dyDescent="0.3"/>
  <cols>
    <col min="1" max="1" width="39.69921875" style="1" customWidth="1"/>
    <col min="2" max="2" width="14.3984375" style="1" customWidth="1"/>
    <col min="3" max="3" width="23" style="1" customWidth="1"/>
    <col min="4" max="4" width="55" style="1" customWidth="1"/>
    <col min="5" max="16384" width="9.09765625" style="1"/>
  </cols>
  <sheetData>
    <row r="1" spans="1:15" s="29" customFormat="1" ht="27.75" customHeight="1" x14ac:dyDescent="0.3">
      <c r="A1" s="126" t="s">
        <v>43</v>
      </c>
      <c r="B1" s="127"/>
      <c r="C1" s="127"/>
      <c r="D1" s="128"/>
      <c r="G1" s="30"/>
      <c r="K1" s="133"/>
      <c r="L1" s="133"/>
      <c r="M1" s="133"/>
      <c r="N1" s="133"/>
      <c r="O1" s="133"/>
    </row>
    <row r="2" spans="1:15" s="29" customFormat="1" ht="24.9" customHeight="1" x14ac:dyDescent="0.3">
      <c r="A2" s="39" t="s">
        <v>33</v>
      </c>
      <c r="B2" s="40"/>
      <c r="C2" s="41" t="s">
        <v>80</v>
      </c>
      <c r="D2" s="42"/>
      <c r="E2" s="31"/>
      <c r="F2" s="32"/>
      <c r="L2" s="131"/>
      <c r="M2" s="131"/>
      <c r="N2" s="132"/>
      <c r="O2" s="132"/>
    </row>
    <row r="3" spans="1:15" s="29" customFormat="1" ht="22.5" customHeight="1" x14ac:dyDescent="0.25">
      <c r="A3" s="39" t="s">
        <v>35</v>
      </c>
      <c r="B3" s="31" t="s">
        <v>36</v>
      </c>
      <c r="C3" s="41" t="s">
        <v>34</v>
      </c>
      <c r="D3" s="43"/>
      <c r="E3" s="31"/>
      <c r="F3" s="31"/>
      <c r="G3" s="31" t="s">
        <v>85</v>
      </c>
      <c r="H3" s="48"/>
      <c r="L3" s="131"/>
      <c r="M3" s="131"/>
      <c r="N3" s="132"/>
      <c r="O3" s="132"/>
    </row>
    <row r="4" spans="1:15" s="29" customFormat="1" ht="22.5" customHeight="1" x14ac:dyDescent="0.25">
      <c r="A4" s="39"/>
      <c r="B4" s="31"/>
      <c r="C4" s="41" t="s">
        <v>37</v>
      </c>
      <c r="D4" s="43"/>
      <c r="E4" s="31"/>
      <c r="F4" s="31"/>
      <c r="G4" s="31" t="s">
        <v>86</v>
      </c>
      <c r="H4" s="49"/>
      <c r="L4" s="131"/>
      <c r="M4" s="131"/>
      <c r="N4" s="132"/>
      <c r="O4" s="132"/>
    </row>
    <row r="5" spans="1:15" ht="16.5" customHeight="1" x14ac:dyDescent="0.3">
      <c r="A5" s="44"/>
      <c r="B5" s="45"/>
      <c r="C5" s="46"/>
      <c r="D5" s="47"/>
      <c r="E5" s="31"/>
    </row>
    <row r="6" spans="1:15" s="5" customFormat="1" x14ac:dyDescent="0.3">
      <c r="A6" s="22" t="s">
        <v>29</v>
      </c>
      <c r="B6" s="23"/>
      <c r="C6" s="4" t="s">
        <v>23</v>
      </c>
      <c r="D6" s="4" t="s">
        <v>0</v>
      </c>
    </row>
    <row r="7" spans="1:15" ht="15.9" customHeight="1" x14ac:dyDescent="0.3">
      <c r="A7" s="24" t="s">
        <v>44</v>
      </c>
      <c r="B7" s="25"/>
      <c r="C7" s="33" t="s">
        <v>74</v>
      </c>
      <c r="D7" s="2"/>
    </row>
    <row r="8" spans="1:15" ht="15.9" customHeight="1" x14ac:dyDescent="0.3">
      <c r="A8" s="24" t="s">
        <v>1</v>
      </c>
      <c r="B8" s="25"/>
      <c r="C8" s="33"/>
      <c r="D8" s="2"/>
    </row>
    <row r="9" spans="1:15" ht="15.9" customHeight="1" x14ac:dyDescent="0.3">
      <c r="A9" s="24" t="s">
        <v>2</v>
      </c>
      <c r="B9" s="25"/>
      <c r="C9" s="33"/>
      <c r="D9" s="2"/>
    </row>
    <row r="10" spans="1:15" ht="15.9" customHeight="1" x14ac:dyDescent="0.3">
      <c r="A10" s="24" t="s">
        <v>3</v>
      </c>
      <c r="B10" s="25"/>
      <c r="C10" s="33"/>
      <c r="D10" s="2" t="s">
        <v>4</v>
      </c>
    </row>
    <row r="11" spans="1:15" ht="15.9" customHeight="1" x14ac:dyDescent="0.3">
      <c r="A11" s="24" t="s">
        <v>5</v>
      </c>
      <c r="B11" s="25"/>
      <c r="C11" s="33"/>
      <c r="D11" s="2" t="s">
        <v>24</v>
      </c>
    </row>
    <row r="12" spans="1:15" ht="15.9" customHeight="1" x14ac:dyDescent="0.3">
      <c r="A12" s="24" t="s">
        <v>6</v>
      </c>
      <c r="B12" s="25"/>
      <c r="C12" s="34">
        <f>C8/5</f>
        <v>0</v>
      </c>
      <c r="D12" s="2" t="s">
        <v>7</v>
      </c>
    </row>
    <row r="13" spans="1:15" ht="15.9" customHeight="1" x14ac:dyDescent="0.3">
      <c r="A13" s="24" t="s">
        <v>8</v>
      </c>
      <c r="B13" s="25"/>
      <c r="C13" s="33"/>
      <c r="D13" s="2" t="s">
        <v>9</v>
      </c>
    </row>
    <row r="14" spans="1:15" ht="9" customHeight="1" x14ac:dyDescent="0.3">
      <c r="A14" s="24"/>
      <c r="B14" s="25"/>
      <c r="C14" s="35"/>
      <c r="D14" s="2"/>
    </row>
    <row r="15" spans="1:15" s="5" customFormat="1" x14ac:dyDescent="0.3">
      <c r="A15" s="22" t="s">
        <v>10</v>
      </c>
      <c r="B15" s="23"/>
      <c r="C15" s="4" t="s">
        <v>30</v>
      </c>
      <c r="D15" s="4" t="s">
        <v>0</v>
      </c>
    </row>
    <row r="16" spans="1:15" ht="15.9" customHeight="1" x14ac:dyDescent="0.3">
      <c r="A16" s="24" t="s">
        <v>25</v>
      </c>
      <c r="B16" s="25"/>
      <c r="C16" s="34" t="e">
        <f>C8/(C10*20)</f>
        <v>#DIV/0!</v>
      </c>
      <c r="D16" s="2" t="s">
        <v>11</v>
      </c>
    </row>
    <row r="17" spans="1:4" ht="15.9" customHeight="1" x14ac:dyDescent="0.3">
      <c r="A17" s="24" t="s">
        <v>12</v>
      </c>
      <c r="B17" s="25"/>
      <c r="C17" s="33"/>
      <c r="D17" s="2"/>
    </row>
    <row r="18" spans="1:4" ht="15.9" customHeight="1" x14ac:dyDescent="0.3">
      <c r="A18" s="24" t="s">
        <v>13</v>
      </c>
      <c r="B18" s="25"/>
      <c r="C18" s="34" t="e">
        <f>(C8/(5*C10))+1</f>
        <v>#DIV/0!</v>
      </c>
      <c r="D18" s="2" t="s">
        <v>14</v>
      </c>
    </row>
    <row r="19" spans="1:4" ht="15.9" customHeight="1" x14ac:dyDescent="0.3">
      <c r="A19" s="24" t="s">
        <v>15</v>
      </c>
      <c r="B19" s="25"/>
      <c r="C19" s="34" t="e">
        <f>1.5/C10</f>
        <v>#DIV/0!</v>
      </c>
      <c r="D19" s="2" t="s">
        <v>16</v>
      </c>
    </row>
    <row r="20" spans="1:4" ht="15.9" customHeight="1" x14ac:dyDescent="0.3">
      <c r="A20" s="24" t="s">
        <v>17</v>
      </c>
      <c r="B20" s="25"/>
      <c r="C20" s="34" t="e">
        <f>1.5/C10</f>
        <v>#DIV/0!</v>
      </c>
      <c r="D20" s="2" t="s">
        <v>16</v>
      </c>
    </row>
    <row r="21" spans="1:4" ht="15.9" customHeight="1" x14ac:dyDescent="0.3">
      <c r="A21" s="24" t="s">
        <v>26</v>
      </c>
      <c r="B21" s="25"/>
      <c r="C21" s="34" t="e">
        <f>(2*C8*C13)/(C10*175)</f>
        <v>#DIV/0!</v>
      </c>
      <c r="D21" s="2" t="s">
        <v>18</v>
      </c>
    </row>
    <row r="22" spans="1:4" ht="15.9" customHeight="1" x14ac:dyDescent="0.3">
      <c r="A22" s="24" t="s">
        <v>19</v>
      </c>
      <c r="B22" s="25"/>
      <c r="C22" s="34" t="e">
        <f>1.5/C10</f>
        <v>#DIV/0!</v>
      </c>
      <c r="D22" s="2" t="s">
        <v>16</v>
      </c>
    </row>
    <row r="23" spans="1:4" ht="15.9" customHeight="1" x14ac:dyDescent="0.3">
      <c r="A23" s="24" t="s">
        <v>20</v>
      </c>
      <c r="B23" s="25"/>
      <c r="C23" s="34" t="e">
        <f>C9/C10</f>
        <v>#DIV/0!</v>
      </c>
      <c r="D23" s="2" t="s">
        <v>31</v>
      </c>
    </row>
    <row r="24" spans="1:4" ht="15.9" customHeight="1" x14ac:dyDescent="0.3">
      <c r="A24" s="24" t="s">
        <v>27</v>
      </c>
      <c r="B24" s="25"/>
      <c r="C24" s="33"/>
      <c r="D24" s="2"/>
    </row>
    <row r="25" spans="1:4" ht="15.9" customHeight="1" x14ac:dyDescent="0.3">
      <c r="A25" s="24" t="s">
        <v>21</v>
      </c>
      <c r="B25" s="25"/>
      <c r="C25" s="33"/>
      <c r="D25" s="2"/>
    </row>
    <row r="26" spans="1:4" ht="15.9" customHeight="1" x14ac:dyDescent="0.3">
      <c r="A26" s="24" t="s">
        <v>32</v>
      </c>
      <c r="B26" s="25"/>
      <c r="C26" s="33"/>
      <c r="D26" s="2"/>
    </row>
    <row r="27" spans="1:4" ht="15.9" customHeight="1" x14ac:dyDescent="0.3">
      <c r="A27" s="24" t="s">
        <v>22</v>
      </c>
      <c r="B27" s="25"/>
      <c r="C27" s="33"/>
      <c r="D27" s="2"/>
    </row>
    <row r="28" spans="1:4" ht="15.9" customHeight="1" x14ac:dyDescent="0.3">
      <c r="A28" s="24" t="s">
        <v>28</v>
      </c>
      <c r="B28" s="25"/>
      <c r="C28" s="33"/>
      <c r="D28" s="2"/>
    </row>
    <row r="29" spans="1:4" ht="15.9" customHeight="1" x14ac:dyDescent="0.3">
      <c r="A29" s="26" t="s">
        <v>38</v>
      </c>
      <c r="B29" s="27"/>
      <c r="C29" s="3" t="e">
        <f>SUM(C16:C28)</f>
        <v>#DIV/0!</v>
      </c>
      <c r="D29" s="2"/>
    </row>
    <row r="30" spans="1:4" ht="15.9" customHeight="1" x14ac:dyDescent="0.3"/>
    <row r="31" spans="1:4" x14ac:dyDescent="0.3">
      <c r="A31" s="36" t="s">
        <v>39</v>
      </c>
      <c r="C31" s="3" t="e">
        <f>C29/C11</f>
        <v>#DIV/0!</v>
      </c>
    </row>
    <row r="32" spans="1:4" x14ac:dyDescent="0.3">
      <c r="A32" s="36" t="s">
        <v>40</v>
      </c>
      <c r="C32" s="33"/>
    </row>
    <row r="33" spans="1:3" x14ac:dyDescent="0.3">
      <c r="A33" s="36" t="s">
        <v>41</v>
      </c>
      <c r="C33" s="33"/>
    </row>
    <row r="34" spans="1:3" x14ac:dyDescent="0.3">
      <c r="A34" s="37"/>
      <c r="C34" s="37"/>
    </row>
    <row r="35" spans="1:3" x14ac:dyDescent="0.3">
      <c r="A35" s="38" t="s">
        <v>42</v>
      </c>
      <c r="C35" s="3" t="e">
        <f>C31*C33/C32</f>
        <v>#DIV/0!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L4:M4"/>
    <mergeCell ref="N4:O4"/>
    <mergeCell ref="A1:D1"/>
    <mergeCell ref="K1:O1"/>
    <mergeCell ref="L2:M2"/>
    <mergeCell ref="N2:O2"/>
    <mergeCell ref="L3:M3"/>
    <mergeCell ref="N3:O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B82FB-E331-4142-98C9-CEC2EF157F88}">
  <sheetPr codeName="Sheet4"/>
  <dimension ref="A1:O35"/>
  <sheetViews>
    <sheetView showGridLines="0" zoomScale="85" zoomScaleNormal="85" workbookViewId="0">
      <selection activeCell="C16" sqref="C16"/>
    </sheetView>
  </sheetViews>
  <sheetFormatPr defaultColWidth="9.09765625" defaultRowHeight="15.6" x14ac:dyDescent="0.3"/>
  <cols>
    <col min="1" max="1" width="39.69921875" style="1" customWidth="1"/>
    <col min="2" max="2" width="14.3984375" style="1" customWidth="1"/>
    <col min="3" max="3" width="23" style="1" customWidth="1"/>
    <col min="4" max="4" width="55" style="1" customWidth="1"/>
    <col min="5" max="16384" width="9.09765625" style="1"/>
  </cols>
  <sheetData>
    <row r="1" spans="1:15" s="29" customFormat="1" ht="27.75" customHeight="1" x14ac:dyDescent="0.3">
      <c r="A1" s="126" t="s">
        <v>43</v>
      </c>
      <c r="B1" s="127"/>
      <c r="C1" s="127"/>
      <c r="D1" s="128"/>
      <c r="G1" s="30"/>
      <c r="K1" s="133"/>
      <c r="L1" s="133"/>
      <c r="M1" s="133"/>
      <c r="N1" s="133"/>
      <c r="O1" s="133"/>
    </row>
    <row r="2" spans="1:15" s="29" customFormat="1" ht="24.9" customHeight="1" x14ac:dyDescent="0.3">
      <c r="A2" s="39" t="s">
        <v>33</v>
      </c>
      <c r="B2" s="40"/>
      <c r="C2" s="41" t="s">
        <v>80</v>
      </c>
      <c r="D2" s="42"/>
      <c r="E2" s="31"/>
      <c r="F2" s="32"/>
      <c r="L2" s="131"/>
      <c r="M2" s="131"/>
      <c r="N2" s="132"/>
      <c r="O2" s="132"/>
    </row>
    <row r="3" spans="1:15" s="29" customFormat="1" ht="22.5" customHeight="1" x14ac:dyDescent="0.25">
      <c r="A3" s="39" t="s">
        <v>35</v>
      </c>
      <c r="B3" s="31" t="s">
        <v>36</v>
      </c>
      <c r="C3" s="41" t="s">
        <v>34</v>
      </c>
      <c r="D3" s="43"/>
      <c r="E3" s="31"/>
      <c r="F3" s="31"/>
      <c r="G3" s="31" t="s">
        <v>85</v>
      </c>
      <c r="H3" s="48"/>
      <c r="L3" s="131"/>
      <c r="M3" s="131"/>
      <c r="N3" s="132"/>
      <c r="O3" s="132"/>
    </row>
    <row r="4" spans="1:15" s="29" customFormat="1" ht="22.5" customHeight="1" x14ac:dyDescent="0.25">
      <c r="A4" s="39"/>
      <c r="B4" s="31"/>
      <c r="C4" s="41" t="s">
        <v>37</v>
      </c>
      <c r="D4" s="43"/>
      <c r="E4" s="31"/>
      <c r="F4" s="31"/>
      <c r="G4" s="31" t="s">
        <v>86</v>
      </c>
      <c r="H4" s="49"/>
      <c r="L4" s="131"/>
      <c r="M4" s="131"/>
      <c r="N4" s="132"/>
      <c r="O4" s="132"/>
    </row>
    <row r="5" spans="1:15" ht="16.5" customHeight="1" x14ac:dyDescent="0.3">
      <c r="A5" s="44"/>
      <c r="B5" s="45"/>
      <c r="C5" s="46"/>
      <c r="D5" s="47"/>
      <c r="E5" s="31"/>
    </row>
    <row r="6" spans="1:15" s="5" customFormat="1" x14ac:dyDescent="0.3">
      <c r="A6" s="22" t="s">
        <v>29</v>
      </c>
      <c r="B6" s="23"/>
      <c r="C6" s="4" t="s">
        <v>23</v>
      </c>
      <c r="D6" s="4" t="s">
        <v>0</v>
      </c>
    </row>
    <row r="7" spans="1:15" ht="15.9" customHeight="1" x14ac:dyDescent="0.3">
      <c r="A7" s="24" t="s">
        <v>44</v>
      </c>
      <c r="B7" s="25"/>
      <c r="C7" s="33" t="s">
        <v>83</v>
      </c>
      <c r="D7" s="2"/>
    </row>
    <row r="8" spans="1:15" ht="15.9" customHeight="1" x14ac:dyDescent="0.3">
      <c r="A8" s="24" t="s">
        <v>1</v>
      </c>
      <c r="B8" s="25"/>
      <c r="C8" s="33"/>
      <c r="D8" s="2"/>
    </row>
    <row r="9" spans="1:15" ht="15.9" customHeight="1" x14ac:dyDescent="0.3">
      <c r="A9" s="24" t="s">
        <v>2</v>
      </c>
      <c r="B9" s="25"/>
      <c r="C9" s="33"/>
      <c r="D9" s="2"/>
    </row>
    <row r="10" spans="1:15" ht="15.9" customHeight="1" x14ac:dyDescent="0.3">
      <c r="A10" s="24" t="s">
        <v>3</v>
      </c>
      <c r="B10" s="25"/>
      <c r="C10" s="33"/>
      <c r="D10" s="2" t="s">
        <v>4</v>
      </c>
    </row>
    <row r="11" spans="1:15" ht="15.9" customHeight="1" x14ac:dyDescent="0.3">
      <c r="A11" s="24" t="s">
        <v>5</v>
      </c>
      <c r="B11" s="25"/>
      <c r="C11" s="33"/>
      <c r="D11" s="2" t="s">
        <v>24</v>
      </c>
    </row>
    <row r="12" spans="1:15" ht="15.9" customHeight="1" x14ac:dyDescent="0.3">
      <c r="A12" s="24" t="s">
        <v>6</v>
      </c>
      <c r="B12" s="25"/>
      <c r="C12" s="34">
        <f>C8/5</f>
        <v>0</v>
      </c>
      <c r="D12" s="2" t="s">
        <v>7</v>
      </c>
    </row>
    <row r="13" spans="1:15" ht="15.9" customHeight="1" x14ac:dyDescent="0.3">
      <c r="A13" s="24" t="s">
        <v>8</v>
      </c>
      <c r="B13" s="25"/>
      <c r="C13" s="33"/>
      <c r="D13" s="2" t="s">
        <v>9</v>
      </c>
    </row>
    <row r="14" spans="1:15" ht="9" customHeight="1" x14ac:dyDescent="0.3">
      <c r="A14" s="24"/>
      <c r="B14" s="25"/>
      <c r="C14" s="35"/>
      <c r="D14" s="2"/>
    </row>
    <row r="15" spans="1:15" s="5" customFormat="1" x14ac:dyDescent="0.3">
      <c r="A15" s="22" t="s">
        <v>10</v>
      </c>
      <c r="B15" s="23"/>
      <c r="C15" s="4" t="s">
        <v>30</v>
      </c>
      <c r="D15" s="4" t="s">
        <v>0</v>
      </c>
    </row>
    <row r="16" spans="1:15" ht="15.9" customHeight="1" x14ac:dyDescent="0.3">
      <c r="A16" s="24" t="s">
        <v>25</v>
      </c>
      <c r="B16" s="25"/>
      <c r="C16" s="34" t="e">
        <f>C8/(C10*20)</f>
        <v>#DIV/0!</v>
      </c>
      <c r="D16" s="2" t="s">
        <v>11</v>
      </c>
    </row>
    <row r="17" spans="1:4" ht="15.9" customHeight="1" x14ac:dyDescent="0.3">
      <c r="A17" s="24" t="s">
        <v>12</v>
      </c>
      <c r="B17" s="25"/>
      <c r="C17" s="33"/>
      <c r="D17" s="2"/>
    </row>
    <row r="18" spans="1:4" ht="15.9" customHeight="1" x14ac:dyDescent="0.3">
      <c r="A18" s="24" t="s">
        <v>13</v>
      </c>
      <c r="B18" s="25"/>
      <c r="C18" s="34" t="e">
        <f>(C8/(5*C10))+1</f>
        <v>#DIV/0!</v>
      </c>
      <c r="D18" s="2" t="s">
        <v>14</v>
      </c>
    </row>
    <row r="19" spans="1:4" ht="15.9" customHeight="1" x14ac:dyDescent="0.3">
      <c r="A19" s="24" t="s">
        <v>15</v>
      </c>
      <c r="B19" s="25"/>
      <c r="C19" s="34" t="e">
        <f>1.5/C10</f>
        <v>#DIV/0!</v>
      </c>
      <c r="D19" s="2" t="s">
        <v>16</v>
      </c>
    </row>
    <row r="20" spans="1:4" ht="15.9" customHeight="1" x14ac:dyDescent="0.3">
      <c r="A20" s="24" t="s">
        <v>17</v>
      </c>
      <c r="B20" s="25"/>
      <c r="C20" s="34" t="e">
        <f>1.5/C10</f>
        <v>#DIV/0!</v>
      </c>
      <c r="D20" s="2" t="s">
        <v>16</v>
      </c>
    </row>
    <row r="21" spans="1:4" ht="15.9" customHeight="1" x14ac:dyDescent="0.3">
      <c r="A21" s="24" t="s">
        <v>26</v>
      </c>
      <c r="B21" s="25"/>
      <c r="C21" s="34" t="e">
        <f>(2*C8*C13)/(C10*175)</f>
        <v>#DIV/0!</v>
      </c>
      <c r="D21" s="2" t="s">
        <v>18</v>
      </c>
    </row>
    <row r="22" spans="1:4" ht="15.9" customHeight="1" x14ac:dyDescent="0.3">
      <c r="A22" s="24" t="s">
        <v>19</v>
      </c>
      <c r="B22" s="25"/>
      <c r="C22" s="34" t="e">
        <f>1.5/C10</f>
        <v>#DIV/0!</v>
      </c>
      <c r="D22" s="2" t="s">
        <v>16</v>
      </c>
    </row>
    <row r="23" spans="1:4" ht="15.9" customHeight="1" x14ac:dyDescent="0.3">
      <c r="A23" s="24" t="s">
        <v>20</v>
      </c>
      <c r="B23" s="25"/>
      <c r="C23" s="34" t="e">
        <f>C9/C10</f>
        <v>#DIV/0!</v>
      </c>
      <c r="D23" s="2" t="s">
        <v>31</v>
      </c>
    </row>
    <row r="24" spans="1:4" ht="15.9" customHeight="1" x14ac:dyDescent="0.3">
      <c r="A24" s="24" t="s">
        <v>27</v>
      </c>
      <c r="B24" s="25"/>
      <c r="C24" s="33"/>
      <c r="D24" s="2"/>
    </row>
    <row r="25" spans="1:4" ht="15.9" customHeight="1" x14ac:dyDescent="0.3">
      <c r="A25" s="24" t="s">
        <v>21</v>
      </c>
      <c r="B25" s="25"/>
      <c r="C25" s="33"/>
      <c r="D25" s="2"/>
    </row>
    <row r="26" spans="1:4" ht="15.9" customHeight="1" x14ac:dyDescent="0.3">
      <c r="A26" s="24" t="s">
        <v>32</v>
      </c>
      <c r="B26" s="25"/>
      <c r="C26" s="33"/>
      <c r="D26" s="2"/>
    </row>
    <row r="27" spans="1:4" ht="15.9" customHeight="1" x14ac:dyDescent="0.3">
      <c r="A27" s="24" t="s">
        <v>22</v>
      </c>
      <c r="B27" s="25"/>
      <c r="C27" s="33"/>
      <c r="D27" s="2"/>
    </row>
    <row r="28" spans="1:4" ht="15.9" customHeight="1" x14ac:dyDescent="0.3">
      <c r="A28" s="24" t="s">
        <v>28</v>
      </c>
      <c r="B28" s="25"/>
      <c r="C28" s="33"/>
      <c r="D28" s="2"/>
    </row>
    <row r="29" spans="1:4" ht="15.9" customHeight="1" x14ac:dyDescent="0.3">
      <c r="A29" s="26" t="s">
        <v>38</v>
      </c>
      <c r="B29" s="27"/>
      <c r="C29" s="3" t="e">
        <f>SUM(C16:C28)</f>
        <v>#DIV/0!</v>
      </c>
      <c r="D29" s="2"/>
    </row>
    <row r="30" spans="1:4" ht="15.9" customHeight="1" x14ac:dyDescent="0.3"/>
    <row r="31" spans="1:4" x14ac:dyDescent="0.3">
      <c r="A31" s="36" t="s">
        <v>39</v>
      </c>
      <c r="C31" s="3" t="e">
        <f>C29/C11</f>
        <v>#DIV/0!</v>
      </c>
    </row>
    <row r="32" spans="1:4" x14ac:dyDescent="0.3">
      <c r="A32" s="36" t="s">
        <v>40</v>
      </c>
      <c r="C32" s="33"/>
    </row>
    <row r="33" spans="1:3" x14ac:dyDescent="0.3">
      <c r="A33" s="36" t="s">
        <v>41</v>
      </c>
      <c r="C33" s="33"/>
    </row>
    <row r="34" spans="1:3" x14ac:dyDescent="0.3">
      <c r="A34" s="37"/>
      <c r="C34" s="37"/>
    </row>
    <row r="35" spans="1:3" x14ac:dyDescent="0.3">
      <c r="A35" s="38" t="s">
        <v>42</v>
      </c>
      <c r="C35" s="3" t="e">
        <f>C31*C33/C32</f>
        <v>#DIV/0!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L4:M4"/>
    <mergeCell ref="N4:O4"/>
    <mergeCell ref="A1:D1"/>
    <mergeCell ref="K1:O1"/>
    <mergeCell ref="L2:M2"/>
    <mergeCell ref="N2:O2"/>
    <mergeCell ref="L3:M3"/>
    <mergeCell ref="N3:O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64B49-C095-4914-8929-E7A2B783E77A}">
  <sheetPr codeName="Sheet5"/>
  <dimension ref="A1:O35"/>
  <sheetViews>
    <sheetView showGridLines="0" topLeftCell="A7" zoomScale="85" zoomScaleNormal="85" workbookViewId="0">
      <selection activeCell="D2" sqref="D2"/>
    </sheetView>
  </sheetViews>
  <sheetFormatPr defaultColWidth="9.09765625" defaultRowHeight="15.6" x14ac:dyDescent="0.3"/>
  <cols>
    <col min="1" max="1" width="39.69921875" style="1" customWidth="1"/>
    <col min="2" max="2" width="14.3984375" style="1" customWidth="1"/>
    <col min="3" max="3" width="23" style="1" customWidth="1"/>
    <col min="4" max="4" width="55" style="1" customWidth="1"/>
    <col min="5" max="16384" width="9.09765625" style="1"/>
  </cols>
  <sheetData>
    <row r="1" spans="1:15" s="29" customFormat="1" ht="27.75" customHeight="1" x14ac:dyDescent="0.3">
      <c r="A1" s="126" t="s">
        <v>43</v>
      </c>
      <c r="B1" s="127"/>
      <c r="C1" s="127"/>
      <c r="D1" s="128"/>
      <c r="G1" s="30"/>
      <c r="K1" s="133"/>
      <c r="L1" s="133"/>
      <c r="M1" s="133"/>
      <c r="N1" s="133"/>
      <c r="O1" s="133"/>
    </row>
    <row r="2" spans="1:15" s="29" customFormat="1" ht="24.9" customHeight="1" x14ac:dyDescent="0.3">
      <c r="A2" s="39" t="s">
        <v>33</v>
      </c>
      <c r="B2" s="40"/>
      <c r="C2" s="41" t="s">
        <v>80</v>
      </c>
      <c r="D2" s="42"/>
      <c r="E2" s="31"/>
      <c r="F2" s="32"/>
      <c r="L2" s="131"/>
      <c r="M2" s="131"/>
      <c r="N2" s="132"/>
      <c r="O2" s="132"/>
    </row>
    <row r="3" spans="1:15" s="29" customFormat="1" ht="22.5" customHeight="1" x14ac:dyDescent="0.25">
      <c r="A3" s="39" t="s">
        <v>35</v>
      </c>
      <c r="B3" s="31" t="s">
        <v>36</v>
      </c>
      <c r="C3" s="41" t="s">
        <v>34</v>
      </c>
      <c r="D3" s="43"/>
      <c r="E3" s="31"/>
      <c r="F3" s="31"/>
      <c r="G3" s="31" t="s">
        <v>85</v>
      </c>
      <c r="H3" s="48"/>
      <c r="L3" s="131"/>
      <c r="M3" s="131"/>
      <c r="N3" s="132"/>
      <c r="O3" s="132"/>
    </row>
    <row r="4" spans="1:15" s="29" customFormat="1" ht="22.5" customHeight="1" x14ac:dyDescent="0.25">
      <c r="A4" s="39"/>
      <c r="B4" s="31"/>
      <c r="C4" s="41" t="s">
        <v>37</v>
      </c>
      <c r="D4" s="43"/>
      <c r="E4" s="31"/>
      <c r="F4" s="31"/>
      <c r="G4" s="31" t="s">
        <v>86</v>
      </c>
      <c r="H4" s="49"/>
      <c r="L4" s="131"/>
      <c r="M4" s="131"/>
      <c r="N4" s="132"/>
      <c r="O4" s="132"/>
    </row>
    <row r="5" spans="1:15" ht="16.5" customHeight="1" x14ac:dyDescent="0.3">
      <c r="A5" s="44"/>
      <c r="B5" s="45"/>
      <c r="C5" s="46"/>
      <c r="D5" s="47"/>
      <c r="E5" s="31"/>
    </row>
    <row r="6" spans="1:15" s="5" customFormat="1" x14ac:dyDescent="0.3">
      <c r="A6" s="22" t="s">
        <v>29</v>
      </c>
      <c r="B6" s="23"/>
      <c r="C6" s="4" t="s">
        <v>23</v>
      </c>
      <c r="D6" s="4" t="s">
        <v>0</v>
      </c>
    </row>
    <row r="7" spans="1:15" ht="15.9" customHeight="1" x14ac:dyDescent="0.3">
      <c r="A7" s="24" t="s">
        <v>44</v>
      </c>
      <c r="B7" s="25"/>
      <c r="C7" s="33" t="s">
        <v>84</v>
      </c>
      <c r="D7" s="2"/>
    </row>
    <row r="8" spans="1:15" ht="15.9" customHeight="1" x14ac:dyDescent="0.3">
      <c r="A8" s="24" t="s">
        <v>1</v>
      </c>
      <c r="B8" s="25"/>
      <c r="C8" s="33"/>
      <c r="D8" s="2"/>
    </row>
    <row r="9" spans="1:15" ht="15.9" customHeight="1" x14ac:dyDescent="0.3">
      <c r="A9" s="24" t="s">
        <v>2</v>
      </c>
      <c r="B9" s="25"/>
      <c r="C9" s="33"/>
      <c r="D9" s="2"/>
    </row>
    <row r="10" spans="1:15" ht="15.9" customHeight="1" x14ac:dyDescent="0.3">
      <c r="A10" s="24" t="s">
        <v>3</v>
      </c>
      <c r="B10" s="25"/>
      <c r="C10" s="33"/>
      <c r="D10" s="2" t="s">
        <v>4</v>
      </c>
    </row>
    <row r="11" spans="1:15" ht="15.9" customHeight="1" x14ac:dyDescent="0.3">
      <c r="A11" s="24" t="s">
        <v>5</v>
      </c>
      <c r="B11" s="25"/>
      <c r="C11" s="33"/>
      <c r="D11" s="2" t="s">
        <v>24</v>
      </c>
    </row>
    <row r="12" spans="1:15" ht="15.9" customHeight="1" x14ac:dyDescent="0.3">
      <c r="A12" s="24" t="s">
        <v>6</v>
      </c>
      <c r="B12" s="25"/>
      <c r="C12" s="34">
        <f>C8/5</f>
        <v>0</v>
      </c>
      <c r="D12" s="2" t="s">
        <v>7</v>
      </c>
    </row>
    <row r="13" spans="1:15" ht="15.9" customHeight="1" x14ac:dyDescent="0.3">
      <c r="A13" s="24" t="s">
        <v>8</v>
      </c>
      <c r="B13" s="25"/>
      <c r="C13" s="33"/>
      <c r="D13" s="2" t="s">
        <v>9</v>
      </c>
    </row>
    <row r="14" spans="1:15" ht="9" customHeight="1" x14ac:dyDescent="0.3">
      <c r="A14" s="24"/>
      <c r="B14" s="25"/>
      <c r="C14" s="35"/>
      <c r="D14" s="2"/>
    </row>
    <row r="15" spans="1:15" s="5" customFormat="1" x14ac:dyDescent="0.3">
      <c r="A15" s="22" t="s">
        <v>10</v>
      </c>
      <c r="B15" s="23"/>
      <c r="C15" s="4" t="s">
        <v>30</v>
      </c>
      <c r="D15" s="4" t="s">
        <v>0</v>
      </c>
    </row>
    <row r="16" spans="1:15" ht="15.9" customHeight="1" x14ac:dyDescent="0.3">
      <c r="A16" s="24" t="s">
        <v>25</v>
      </c>
      <c r="B16" s="25"/>
      <c r="C16" s="34" t="e">
        <f>C8/(C10*20)</f>
        <v>#DIV/0!</v>
      </c>
      <c r="D16" s="2" t="s">
        <v>11</v>
      </c>
    </row>
    <row r="17" spans="1:4" ht="15.9" customHeight="1" x14ac:dyDescent="0.3">
      <c r="A17" s="24" t="s">
        <v>12</v>
      </c>
      <c r="B17" s="25"/>
      <c r="C17" s="33"/>
      <c r="D17" s="2"/>
    </row>
    <row r="18" spans="1:4" ht="15.9" customHeight="1" x14ac:dyDescent="0.3">
      <c r="A18" s="24" t="s">
        <v>13</v>
      </c>
      <c r="B18" s="25"/>
      <c r="C18" s="34" t="e">
        <f>(C8/(5*C10))+1</f>
        <v>#DIV/0!</v>
      </c>
      <c r="D18" s="2" t="s">
        <v>14</v>
      </c>
    </row>
    <row r="19" spans="1:4" ht="15.9" customHeight="1" x14ac:dyDescent="0.3">
      <c r="A19" s="24" t="s">
        <v>15</v>
      </c>
      <c r="B19" s="25"/>
      <c r="C19" s="34" t="e">
        <f>1.5/C10</f>
        <v>#DIV/0!</v>
      </c>
      <c r="D19" s="2" t="s">
        <v>16</v>
      </c>
    </row>
    <row r="20" spans="1:4" ht="15.9" customHeight="1" x14ac:dyDescent="0.3">
      <c r="A20" s="24" t="s">
        <v>17</v>
      </c>
      <c r="B20" s="25"/>
      <c r="C20" s="34" t="e">
        <f>1.5/C10</f>
        <v>#DIV/0!</v>
      </c>
      <c r="D20" s="2" t="s">
        <v>16</v>
      </c>
    </row>
    <row r="21" spans="1:4" ht="15.9" customHeight="1" x14ac:dyDescent="0.3">
      <c r="A21" s="24" t="s">
        <v>26</v>
      </c>
      <c r="B21" s="25"/>
      <c r="C21" s="34" t="e">
        <f>(2*C8*C13)/(C10*175)</f>
        <v>#DIV/0!</v>
      </c>
      <c r="D21" s="2" t="s">
        <v>18</v>
      </c>
    </row>
    <row r="22" spans="1:4" ht="15.9" customHeight="1" x14ac:dyDescent="0.3">
      <c r="A22" s="24" t="s">
        <v>19</v>
      </c>
      <c r="B22" s="25"/>
      <c r="C22" s="34" t="e">
        <f>1.5/C10</f>
        <v>#DIV/0!</v>
      </c>
      <c r="D22" s="2" t="s">
        <v>16</v>
      </c>
    </row>
    <row r="23" spans="1:4" ht="15.9" customHeight="1" x14ac:dyDescent="0.3">
      <c r="A23" s="24" t="s">
        <v>20</v>
      </c>
      <c r="B23" s="25"/>
      <c r="C23" s="34" t="e">
        <f>C9/C10</f>
        <v>#DIV/0!</v>
      </c>
      <c r="D23" s="2" t="s">
        <v>31</v>
      </c>
    </row>
    <row r="24" spans="1:4" ht="15.9" customHeight="1" x14ac:dyDescent="0.3">
      <c r="A24" s="24" t="s">
        <v>27</v>
      </c>
      <c r="B24" s="25"/>
      <c r="C24" s="33"/>
      <c r="D24" s="2"/>
    </row>
    <row r="25" spans="1:4" ht="15.9" customHeight="1" x14ac:dyDescent="0.3">
      <c r="A25" s="24" t="s">
        <v>21</v>
      </c>
      <c r="B25" s="25"/>
      <c r="C25" s="33"/>
      <c r="D25" s="2"/>
    </row>
    <row r="26" spans="1:4" ht="15.9" customHeight="1" x14ac:dyDescent="0.3">
      <c r="A26" s="24" t="s">
        <v>32</v>
      </c>
      <c r="B26" s="25"/>
      <c r="C26" s="33"/>
      <c r="D26" s="2"/>
    </row>
    <row r="27" spans="1:4" ht="15.9" customHeight="1" x14ac:dyDescent="0.3">
      <c r="A27" s="24" t="s">
        <v>22</v>
      </c>
      <c r="B27" s="25"/>
      <c r="C27" s="33"/>
      <c r="D27" s="2"/>
    </row>
    <row r="28" spans="1:4" ht="15.9" customHeight="1" x14ac:dyDescent="0.3">
      <c r="A28" s="24" t="s">
        <v>28</v>
      </c>
      <c r="B28" s="25"/>
      <c r="C28" s="33"/>
      <c r="D28" s="2"/>
    </row>
    <row r="29" spans="1:4" ht="15.9" customHeight="1" x14ac:dyDescent="0.3">
      <c r="A29" s="26" t="s">
        <v>38</v>
      </c>
      <c r="B29" s="27"/>
      <c r="C29" s="3" t="e">
        <f>SUM(C16:C28)</f>
        <v>#DIV/0!</v>
      </c>
      <c r="D29" s="2"/>
    </row>
    <row r="30" spans="1:4" ht="15.9" customHeight="1" x14ac:dyDescent="0.3"/>
    <row r="31" spans="1:4" x14ac:dyDescent="0.3">
      <c r="A31" s="36" t="s">
        <v>39</v>
      </c>
      <c r="C31" s="3" t="e">
        <f>C29/C11</f>
        <v>#DIV/0!</v>
      </c>
    </row>
    <row r="32" spans="1:4" x14ac:dyDescent="0.3">
      <c r="A32" s="36" t="s">
        <v>40</v>
      </c>
      <c r="C32" s="33"/>
    </row>
    <row r="33" spans="1:3" x14ac:dyDescent="0.3">
      <c r="A33" s="36" t="s">
        <v>41</v>
      </c>
      <c r="C33" s="33"/>
    </row>
    <row r="34" spans="1:3" x14ac:dyDescent="0.3">
      <c r="A34" s="37"/>
      <c r="C34" s="37"/>
    </row>
    <row r="35" spans="1:3" x14ac:dyDescent="0.3">
      <c r="A35" s="38" t="s">
        <v>42</v>
      </c>
      <c r="C35" s="3" t="e">
        <f>C31*C33/C32</f>
        <v>#DIV/0!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L4:M4"/>
    <mergeCell ref="N4:O4"/>
    <mergeCell ref="A1:D1"/>
    <mergeCell ref="K1:O1"/>
    <mergeCell ref="L2:M2"/>
    <mergeCell ref="N2:O2"/>
    <mergeCell ref="L3:M3"/>
    <mergeCell ref="N3:O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9C298-B6D6-45E8-AADA-30AC31DE5A8F}">
  <sheetPr codeName="Sheet6"/>
  <dimension ref="A1:J233"/>
  <sheetViews>
    <sheetView showGridLines="0" topLeftCell="A12" zoomScaleNormal="100" workbookViewId="0">
      <selection activeCell="E20" sqref="E20"/>
    </sheetView>
  </sheetViews>
  <sheetFormatPr defaultRowHeight="13.8" x14ac:dyDescent="0.25"/>
  <cols>
    <col min="1" max="1" width="4.69921875" style="6" customWidth="1"/>
    <col min="2" max="2" width="20.69921875" style="6" customWidth="1"/>
    <col min="3" max="3" width="20.69921875" customWidth="1"/>
    <col min="4" max="4" width="7.69921875" customWidth="1"/>
    <col min="5" max="6" width="15.296875" customWidth="1"/>
    <col min="9" max="9" width="13.296875" customWidth="1"/>
  </cols>
  <sheetData>
    <row r="1" spans="1:10" ht="18" x14ac:dyDescent="0.25">
      <c r="A1" s="126" t="s">
        <v>79</v>
      </c>
      <c r="B1" s="127"/>
      <c r="C1" s="127"/>
      <c r="D1" s="127"/>
      <c r="E1" s="127"/>
      <c r="F1" s="128"/>
    </row>
    <row r="2" spans="1:10" x14ac:dyDescent="0.25">
      <c r="A2" s="15"/>
      <c r="B2" s="63" t="s">
        <v>45</v>
      </c>
      <c r="C2" s="16"/>
      <c r="D2" s="16"/>
      <c r="E2" s="62" t="s">
        <v>80</v>
      </c>
      <c r="F2" s="21"/>
    </row>
    <row r="3" spans="1:10" x14ac:dyDescent="0.25">
      <c r="A3" s="15"/>
      <c r="B3" s="63" t="s">
        <v>33</v>
      </c>
      <c r="C3" s="16"/>
      <c r="E3" s="62" t="s">
        <v>34</v>
      </c>
      <c r="F3" s="50"/>
    </row>
    <row r="4" spans="1:10" ht="15.6" x14ac:dyDescent="0.3">
      <c r="A4" s="15"/>
      <c r="B4" s="63" t="s">
        <v>35</v>
      </c>
      <c r="C4" s="16"/>
      <c r="D4" s="17"/>
      <c r="E4" s="62" t="s">
        <v>37</v>
      </c>
      <c r="F4" s="51"/>
    </row>
    <row r="5" spans="1:10" ht="15.6" x14ac:dyDescent="0.3">
      <c r="A5" s="15"/>
      <c r="B5" s="16"/>
      <c r="C5" s="16"/>
      <c r="D5" s="1"/>
      <c r="E5" s="17"/>
      <c r="F5" s="18"/>
    </row>
    <row r="6" spans="1:10" ht="15.6" x14ac:dyDescent="0.3">
      <c r="A6" s="15"/>
      <c r="B6" s="63" t="s">
        <v>55</v>
      </c>
      <c r="C6" s="16"/>
      <c r="D6" s="144"/>
      <c r="E6" s="144"/>
      <c r="F6" s="18"/>
    </row>
    <row r="7" spans="1:10" ht="15.6" x14ac:dyDescent="0.3">
      <c r="A7" s="15"/>
      <c r="B7" s="63" t="s">
        <v>50</v>
      </c>
      <c r="C7" s="16"/>
      <c r="D7" s="145"/>
      <c r="E7" s="145"/>
      <c r="F7" s="18"/>
    </row>
    <row r="8" spans="1:10" ht="15.6" x14ac:dyDescent="0.3">
      <c r="A8" s="15"/>
      <c r="B8" s="63" t="s">
        <v>69</v>
      </c>
      <c r="C8" s="16"/>
      <c r="D8" s="146" t="s">
        <v>81</v>
      </c>
      <c r="E8" s="146"/>
      <c r="F8" s="19"/>
    </row>
    <row r="9" spans="1:10" x14ac:dyDescent="0.25">
      <c r="A9" s="15"/>
      <c r="F9" s="20"/>
    </row>
    <row r="10" spans="1:10" x14ac:dyDescent="0.25">
      <c r="A10" s="15"/>
      <c r="F10" s="20"/>
    </row>
    <row r="11" spans="1:10" x14ac:dyDescent="0.25">
      <c r="A11" s="10" t="s">
        <v>64</v>
      </c>
      <c r="B11" s="147" t="s">
        <v>46</v>
      </c>
      <c r="C11" s="148"/>
      <c r="D11" s="11" t="s">
        <v>47</v>
      </c>
      <c r="E11" s="11" t="s">
        <v>49</v>
      </c>
      <c r="F11" s="11" t="s">
        <v>48</v>
      </c>
      <c r="I11" s="55" t="s">
        <v>88</v>
      </c>
      <c r="J11" s="53">
        <v>1</v>
      </c>
    </row>
    <row r="12" spans="1:10" x14ac:dyDescent="0.25">
      <c r="A12" s="10">
        <v>1</v>
      </c>
      <c r="B12" s="140" t="s">
        <v>51</v>
      </c>
      <c r="C12" s="141"/>
      <c r="D12" s="105">
        <v>2</v>
      </c>
      <c r="E12" s="57">
        <v>8800</v>
      </c>
      <c r="F12" s="14">
        <f t="shared" ref="F12:F17" si="0">D12*E12</f>
        <v>17600</v>
      </c>
      <c r="I12" s="56" t="s">
        <v>87</v>
      </c>
      <c r="J12" s="54">
        <v>1</v>
      </c>
    </row>
    <row r="13" spans="1:10" x14ac:dyDescent="0.25">
      <c r="A13" s="10">
        <v>2</v>
      </c>
      <c r="B13" s="140" t="s">
        <v>52</v>
      </c>
      <c r="C13" s="141" t="s">
        <v>52</v>
      </c>
      <c r="D13" s="106">
        <v>0.05</v>
      </c>
      <c r="E13" s="52">
        <f>D12*E12</f>
        <v>17600</v>
      </c>
      <c r="F13" s="14">
        <f t="shared" si="0"/>
        <v>880</v>
      </c>
      <c r="I13" s="55" t="s">
        <v>86</v>
      </c>
      <c r="J13" s="28">
        <v>1</v>
      </c>
    </row>
    <row r="14" spans="1:10" x14ac:dyDescent="0.25">
      <c r="A14" s="10">
        <v>3</v>
      </c>
      <c r="B14" s="140" t="s">
        <v>54</v>
      </c>
      <c r="C14" s="141" t="s">
        <v>54</v>
      </c>
      <c r="D14" s="106">
        <v>0.05</v>
      </c>
      <c r="E14" s="52">
        <f>D12*E12</f>
        <v>17600</v>
      </c>
      <c r="F14" s="14">
        <f>D14*E14</f>
        <v>880</v>
      </c>
    </row>
    <row r="15" spans="1:10" x14ac:dyDescent="0.25">
      <c r="A15" s="10">
        <v>4</v>
      </c>
      <c r="B15" s="140" t="s">
        <v>56</v>
      </c>
      <c r="C15" s="141" t="s">
        <v>56</v>
      </c>
      <c r="D15" s="106">
        <v>0.02</v>
      </c>
      <c r="E15" s="52">
        <f>F12+F13</f>
        <v>18480</v>
      </c>
      <c r="F15" s="14">
        <f t="shared" si="0"/>
        <v>369.6</v>
      </c>
    </row>
    <row r="16" spans="1:10" x14ac:dyDescent="0.25">
      <c r="A16" s="10">
        <v>5</v>
      </c>
      <c r="B16" s="140" t="s">
        <v>53</v>
      </c>
      <c r="C16" s="141" t="s">
        <v>53</v>
      </c>
      <c r="D16" s="105">
        <f>D12</f>
        <v>2</v>
      </c>
      <c r="E16" s="57">
        <v>500</v>
      </c>
      <c r="F16" s="14">
        <f t="shared" si="0"/>
        <v>1000</v>
      </c>
    </row>
    <row r="17" spans="1:6" x14ac:dyDescent="0.25">
      <c r="A17" s="10">
        <v>6</v>
      </c>
      <c r="B17" s="140" t="s">
        <v>72</v>
      </c>
      <c r="C17" s="141" t="s">
        <v>72</v>
      </c>
      <c r="D17" s="105">
        <f>D12</f>
        <v>2</v>
      </c>
      <c r="E17" s="57"/>
      <c r="F17" s="14">
        <f t="shared" si="0"/>
        <v>0</v>
      </c>
    </row>
    <row r="18" spans="1:6" x14ac:dyDescent="0.25">
      <c r="A18" s="10">
        <v>7</v>
      </c>
      <c r="B18" s="140" t="s">
        <v>71</v>
      </c>
      <c r="C18" s="141" t="s">
        <v>71</v>
      </c>
      <c r="D18" s="105">
        <v>0</v>
      </c>
      <c r="E18" s="57"/>
      <c r="F18" s="14">
        <f t="shared" ref="F18:F22" si="1">D18*E18</f>
        <v>0</v>
      </c>
    </row>
    <row r="19" spans="1:6" x14ac:dyDescent="0.25">
      <c r="A19" s="10">
        <v>8</v>
      </c>
      <c r="B19" s="140" t="s">
        <v>25</v>
      </c>
      <c r="C19" s="141" t="s">
        <v>25</v>
      </c>
      <c r="D19" s="105">
        <f>D12</f>
        <v>2</v>
      </c>
      <c r="E19" s="57">
        <v>750</v>
      </c>
      <c r="F19" s="14">
        <f t="shared" si="1"/>
        <v>1500</v>
      </c>
    </row>
    <row r="20" spans="1:6" x14ac:dyDescent="0.25">
      <c r="A20" s="10">
        <v>9</v>
      </c>
      <c r="B20" s="140" t="s">
        <v>60</v>
      </c>
      <c r="C20" s="141" t="s">
        <v>60</v>
      </c>
      <c r="D20" s="105">
        <f>D12</f>
        <v>2</v>
      </c>
      <c r="E20" s="57"/>
      <c r="F20" s="14">
        <f t="shared" si="1"/>
        <v>0</v>
      </c>
    </row>
    <row r="21" spans="1:6" x14ac:dyDescent="0.25">
      <c r="A21" s="10">
        <v>10</v>
      </c>
      <c r="B21" s="140" t="s">
        <v>59</v>
      </c>
      <c r="C21" s="141" t="s">
        <v>59</v>
      </c>
      <c r="D21" s="105">
        <f>D12</f>
        <v>2</v>
      </c>
      <c r="E21" s="57"/>
      <c r="F21" s="14">
        <f t="shared" si="1"/>
        <v>0</v>
      </c>
    </row>
    <row r="22" spans="1:6" x14ac:dyDescent="0.25">
      <c r="A22" s="10">
        <v>11</v>
      </c>
      <c r="B22" s="140" t="s">
        <v>65</v>
      </c>
      <c r="C22" s="141" t="s">
        <v>65</v>
      </c>
      <c r="D22" s="105">
        <f>D12</f>
        <v>2</v>
      </c>
      <c r="E22" s="57"/>
      <c r="F22" s="14">
        <f t="shared" si="1"/>
        <v>0</v>
      </c>
    </row>
    <row r="23" spans="1:6" x14ac:dyDescent="0.25">
      <c r="A23" s="10">
        <v>12</v>
      </c>
      <c r="B23" s="140" t="s">
        <v>66</v>
      </c>
      <c r="C23" s="141" t="s">
        <v>66</v>
      </c>
      <c r="D23" s="105">
        <f>D12</f>
        <v>2</v>
      </c>
      <c r="E23" s="57"/>
      <c r="F23" s="14">
        <f t="shared" ref="F23:F31" si="2">D23*E23</f>
        <v>0</v>
      </c>
    </row>
    <row r="24" spans="1:6" x14ac:dyDescent="0.25">
      <c r="A24" s="10">
        <v>13</v>
      </c>
      <c r="B24" s="140" t="s">
        <v>73</v>
      </c>
      <c r="C24" s="141" t="s">
        <v>73</v>
      </c>
      <c r="D24" s="105">
        <f>D12</f>
        <v>2</v>
      </c>
      <c r="E24" s="57"/>
      <c r="F24" s="14">
        <f t="shared" si="2"/>
        <v>0</v>
      </c>
    </row>
    <row r="25" spans="1:6" x14ac:dyDescent="0.25">
      <c r="A25" s="10">
        <v>14</v>
      </c>
      <c r="B25" s="140" t="s">
        <v>67</v>
      </c>
      <c r="C25" s="141" t="s">
        <v>67</v>
      </c>
      <c r="D25" s="105">
        <f>D12</f>
        <v>2</v>
      </c>
      <c r="E25" s="57">
        <v>2000</v>
      </c>
      <c r="F25" s="14">
        <f t="shared" si="2"/>
        <v>4000</v>
      </c>
    </row>
    <row r="26" spans="1:6" x14ac:dyDescent="0.25">
      <c r="A26" s="10">
        <v>15</v>
      </c>
      <c r="B26" s="140" t="s">
        <v>57</v>
      </c>
      <c r="C26" s="141" t="s">
        <v>57</v>
      </c>
      <c r="D26" s="105">
        <f>D12</f>
        <v>2</v>
      </c>
      <c r="E26" s="57">
        <v>0</v>
      </c>
      <c r="F26" s="14">
        <f t="shared" si="2"/>
        <v>0</v>
      </c>
    </row>
    <row r="27" spans="1:6" x14ac:dyDescent="0.25">
      <c r="A27" s="10">
        <v>16</v>
      </c>
      <c r="B27" s="140" t="s">
        <v>58</v>
      </c>
      <c r="C27" s="141" t="s">
        <v>58</v>
      </c>
      <c r="D27" s="105">
        <f>D12</f>
        <v>2</v>
      </c>
      <c r="E27" s="57">
        <v>0</v>
      </c>
      <c r="F27" s="14">
        <f t="shared" si="2"/>
        <v>0</v>
      </c>
    </row>
    <row r="28" spans="1:6" x14ac:dyDescent="0.25">
      <c r="A28" s="10">
        <v>17</v>
      </c>
      <c r="B28" s="140" t="s">
        <v>61</v>
      </c>
      <c r="C28" s="141" t="s">
        <v>61</v>
      </c>
      <c r="D28" s="105">
        <f>D12</f>
        <v>2</v>
      </c>
      <c r="E28" s="57">
        <v>0</v>
      </c>
      <c r="F28" s="14">
        <f t="shared" si="2"/>
        <v>0</v>
      </c>
    </row>
    <row r="29" spans="1:6" x14ac:dyDescent="0.25">
      <c r="A29" s="10">
        <v>18</v>
      </c>
      <c r="B29" s="140" t="s">
        <v>62</v>
      </c>
      <c r="C29" s="141" t="s">
        <v>62</v>
      </c>
      <c r="D29" s="105">
        <f>D12</f>
        <v>2</v>
      </c>
      <c r="E29" s="57">
        <v>0</v>
      </c>
      <c r="F29" s="14">
        <f t="shared" si="2"/>
        <v>0</v>
      </c>
    </row>
    <row r="30" spans="1:6" x14ac:dyDescent="0.25">
      <c r="A30" s="10">
        <v>19</v>
      </c>
      <c r="B30" s="140" t="s">
        <v>63</v>
      </c>
      <c r="C30" s="141" t="s">
        <v>63</v>
      </c>
      <c r="D30" s="106">
        <v>0</v>
      </c>
      <c r="E30" s="60">
        <f>F12</f>
        <v>17600</v>
      </c>
      <c r="F30" s="59">
        <f t="shared" si="2"/>
        <v>0</v>
      </c>
    </row>
    <row r="31" spans="1:6" x14ac:dyDescent="0.25">
      <c r="A31" s="10">
        <v>20</v>
      </c>
      <c r="B31" s="140" t="s">
        <v>70</v>
      </c>
      <c r="C31" s="141" t="s">
        <v>70</v>
      </c>
      <c r="D31" s="105">
        <v>0.01</v>
      </c>
      <c r="E31" s="61">
        <v>0</v>
      </c>
      <c r="F31" s="14">
        <f t="shared" si="2"/>
        <v>0</v>
      </c>
    </row>
    <row r="32" spans="1:6" ht="14.4" thickBot="1" x14ac:dyDescent="0.3">
      <c r="A32" s="15"/>
      <c r="D32" s="9"/>
      <c r="E32" s="13"/>
      <c r="F32" s="13"/>
    </row>
    <row r="33" spans="3:6" x14ac:dyDescent="0.25">
      <c r="C33" s="136" t="s">
        <v>89</v>
      </c>
      <c r="D33" s="137"/>
      <c r="E33" s="142">
        <f>SUM(F12:F31)</f>
        <v>26229.599999999999</v>
      </c>
      <c r="F33" s="143"/>
    </row>
    <row r="34" spans="3:6" ht="14.4" thickBot="1" x14ac:dyDescent="0.3">
      <c r="C34" s="138" t="s">
        <v>90</v>
      </c>
      <c r="D34" s="139"/>
      <c r="E34" s="134">
        <f>IF(E33&gt;0,E33/D12,0)</f>
        <v>13114.8</v>
      </c>
      <c r="F34" s="135"/>
    </row>
    <row r="35" spans="3:6" x14ac:dyDescent="0.25">
      <c r="C35" s="7"/>
      <c r="D35" s="8"/>
      <c r="E35" s="6"/>
      <c r="F35" s="12"/>
    </row>
    <row r="36" spans="3:6" x14ac:dyDescent="0.25">
      <c r="C36" s="7"/>
      <c r="D36" s="8"/>
      <c r="E36" s="6"/>
      <c r="F36" s="6"/>
    </row>
    <row r="37" spans="3:6" x14ac:dyDescent="0.25">
      <c r="C37" s="7"/>
      <c r="D37" s="8"/>
      <c r="E37" s="6"/>
      <c r="F37" s="6"/>
    </row>
    <row r="38" spans="3:6" x14ac:dyDescent="0.25">
      <c r="C38" s="7"/>
      <c r="D38" s="8"/>
      <c r="E38" s="6"/>
      <c r="F38" s="6"/>
    </row>
    <row r="39" spans="3:6" x14ac:dyDescent="0.25">
      <c r="C39" s="7"/>
      <c r="D39" s="8"/>
      <c r="E39" s="6"/>
      <c r="F39" s="6"/>
    </row>
    <row r="40" spans="3:6" x14ac:dyDescent="0.25">
      <c r="C40" s="7"/>
      <c r="D40" s="8"/>
      <c r="E40" s="6"/>
      <c r="F40" s="6"/>
    </row>
    <row r="41" spans="3:6" x14ac:dyDescent="0.25">
      <c r="C41" s="7"/>
      <c r="D41" s="8"/>
      <c r="E41" s="6"/>
      <c r="F41" s="6"/>
    </row>
    <row r="42" spans="3:6" x14ac:dyDescent="0.25">
      <c r="C42" s="7"/>
      <c r="D42" s="8"/>
      <c r="E42" s="6"/>
      <c r="F42" s="6"/>
    </row>
    <row r="43" spans="3:6" x14ac:dyDescent="0.25">
      <c r="C43" s="7"/>
      <c r="D43" s="8"/>
      <c r="E43" s="6"/>
      <c r="F43" s="6"/>
    </row>
    <row r="44" spans="3:6" x14ac:dyDescent="0.25">
      <c r="C44" s="7"/>
      <c r="D44" s="8"/>
      <c r="E44" s="6"/>
      <c r="F44" s="6"/>
    </row>
    <row r="45" spans="3:6" x14ac:dyDescent="0.25">
      <c r="C45" s="7"/>
      <c r="D45" s="8"/>
      <c r="E45" s="6"/>
      <c r="F45" s="6"/>
    </row>
    <row r="46" spans="3:6" x14ac:dyDescent="0.25">
      <c r="C46" s="7"/>
      <c r="D46" s="8"/>
      <c r="E46" s="6"/>
      <c r="F46" s="6"/>
    </row>
    <row r="47" spans="3:6" x14ac:dyDescent="0.25">
      <c r="C47" s="7"/>
      <c r="D47" s="8"/>
      <c r="E47" s="6"/>
      <c r="F47" s="6"/>
    </row>
    <row r="48" spans="3:6" x14ac:dyDescent="0.25">
      <c r="C48" s="7"/>
      <c r="D48" s="8"/>
      <c r="E48" s="6"/>
      <c r="F48" s="6"/>
    </row>
    <row r="49" spans="3:6" x14ac:dyDescent="0.25">
      <c r="C49" s="7"/>
      <c r="D49" s="8"/>
      <c r="E49" s="6"/>
      <c r="F49" s="6"/>
    </row>
    <row r="50" spans="3:6" x14ac:dyDescent="0.25">
      <c r="C50" s="7"/>
      <c r="D50" s="8"/>
      <c r="E50" s="6"/>
      <c r="F50" s="6"/>
    </row>
    <row r="51" spans="3:6" x14ac:dyDescent="0.25">
      <c r="C51" s="7"/>
      <c r="D51" s="8"/>
      <c r="E51" s="6"/>
      <c r="F51" s="6"/>
    </row>
    <row r="52" spans="3:6" x14ac:dyDescent="0.25">
      <c r="C52" s="7"/>
      <c r="D52" s="8"/>
      <c r="E52" s="6"/>
      <c r="F52" s="6"/>
    </row>
    <row r="53" spans="3:6" x14ac:dyDescent="0.25">
      <c r="C53" s="7"/>
      <c r="D53" s="8"/>
      <c r="E53" s="6"/>
      <c r="F53" s="6"/>
    </row>
    <row r="54" spans="3:6" x14ac:dyDescent="0.25">
      <c r="C54" s="7"/>
      <c r="D54" s="8"/>
      <c r="E54" s="6"/>
      <c r="F54" s="6"/>
    </row>
    <row r="55" spans="3:6" x14ac:dyDescent="0.25">
      <c r="C55" s="7"/>
      <c r="D55" s="8"/>
      <c r="E55" s="6"/>
      <c r="F55" s="6"/>
    </row>
    <row r="56" spans="3:6" x14ac:dyDescent="0.25">
      <c r="C56" s="7"/>
      <c r="D56" s="8"/>
      <c r="E56" s="6"/>
      <c r="F56" s="6"/>
    </row>
    <row r="57" spans="3:6" x14ac:dyDescent="0.25">
      <c r="C57" s="7"/>
      <c r="D57" s="8"/>
      <c r="E57" s="6"/>
      <c r="F57" s="6"/>
    </row>
    <row r="58" spans="3:6" x14ac:dyDescent="0.25">
      <c r="C58" s="7"/>
      <c r="D58" s="8"/>
      <c r="E58" s="6"/>
      <c r="F58" s="6"/>
    </row>
    <row r="59" spans="3:6" x14ac:dyDescent="0.25">
      <c r="C59" s="7"/>
      <c r="D59" s="8"/>
      <c r="E59" s="6"/>
      <c r="F59" s="6"/>
    </row>
    <row r="60" spans="3:6" x14ac:dyDescent="0.25">
      <c r="C60" s="7"/>
      <c r="D60" s="8"/>
      <c r="E60" s="6"/>
      <c r="F60" s="6"/>
    </row>
    <row r="61" spans="3:6" x14ac:dyDescent="0.25">
      <c r="C61" s="7"/>
      <c r="D61" s="8"/>
      <c r="E61" s="6"/>
      <c r="F61" s="6"/>
    </row>
    <row r="62" spans="3:6" x14ac:dyDescent="0.25">
      <c r="C62" s="7"/>
      <c r="D62" s="8"/>
      <c r="E62" s="6"/>
      <c r="F62" s="6"/>
    </row>
    <row r="63" spans="3:6" x14ac:dyDescent="0.25">
      <c r="C63" s="7"/>
      <c r="D63" s="8"/>
      <c r="E63" s="6"/>
      <c r="F63" s="6"/>
    </row>
    <row r="64" spans="3:6" x14ac:dyDescent="0.25">
      <c r="C64" s="7"/>
      <c r="D64" s="8"/>
      <c r="E64" s="6"/>
      <c r="F64" s="6"/>
    </row>
    <row r="65" spans="3:6" x14ac:dyDescent="0.25">
      <c r="C65" s="7"/>
      <c r="D65" s="8"/>
      <c r="E65" s="6"/>
      <c r="F65" s="6"/>
    </row>
    <row r="66" spans="3:6" x14ac:dyDescent="0.25">
      <c r="C66" s="7"/>
      <c r="D66" s="6"/>
      <c r="E66" s="6"/>
      <c r="F66" s="6"/>
    </row>
    <row r="67" spans="3:6" x14ac:dyDescent="0.25">
      <c r="C67" s="7"/>
      <c r="D67" s="6"/>
      <c r="E67" s="6"/>
      <c r="F67" s="6"/>
    </row>
    <row r="68" spans="3:6" x14ac:dyDescent="0.25">
      <c r="C68" s="7"/>
      <c r="D68" s="6"/>
      <c r="E68" s="6"/>
      <c r="F68" s="6"/>
    </row>
    <row r="69" spans="3:6" x14ac:dyDescent="0.25">
      <c r="C69" s="7"/>
      <c r="D69" s="6"/>
      <c r="E69" s="6"/>
      <c r="F69" s="6"/>
    </row>
    <row r="70" spans="3:6" x14ac:dyDescent="0.25">
      <c r="C70" s="7"/>
      <c r="D70" s="6"/>
      <c r="E70" s="6"/>
      <c r="F70" s="6"/>
    </row>
    <row r="71" spans="3:6" x14ac:dyDescent="0.25">
      <c r="C71" s="7"/>
      <c r="D71" s="6"/>
      <c r="E71" s="6"/>
      <c r="F71" s="6"/>
    </row>
    <row r="72" spans="3:6" x14ac:dyDescent="0.25">
      <c r="C72" s="7"/>
      <c r="D72" s="6"/>
      <c r="E72" s="6"/>
      <c r="F72" s="6"/>
    </row>
    <row r="73" spans="3:6" x14ac:dyDescent="0.25">
      <c r="C73" s="7"/>
      <c r="D73" s="6"/>
      <c r="E73" s="6"/>
      <c r="F73" s="6"/>
    </row>
    <row r="74" spans="3:6" x14ac:dyDescent="0.25">
      <c r="C74" s="7"/>
      <c r="D74" s="6"/>
      <c r="E74" s="6"/>
      <c r="F74" s="6"/>
    </row>
    <row r="75" spans="3:6" x14ac:dyDescent="0.25">
      <c r="C75" s="7"/>
      <c r="D75" s="6"/>
      <c r="E75" s="6"/>
      <c r="F75" s="6"/>
    </row>
    <row r="76" spans="3:6" x14ac:dyDescent="0.25">
      <c r="C76" s="7"/>
      <c r="D76" s="6"/>
      <c r="E76" s="6"/>
      <c r="F76" s="6"/>
    </row>
    <row r="77" spans="3:6" x14ac:dyDescent="0.25">
      <c r="C77" s="7"/>
      <c r="D77" s="6"/>
      <c r="E77" s="6"/>
      <c r="F77" s="6"/>
    </row>
    <row r="78" spans="3:6" x14ac:dyDescent="0.25">
      <c r="C78" s="7"/>
      <c r="D78" s="6"/>
      <c r="E78" s="6"/>
      <c r="F78" s="6"/>
    </row>
    <row r="79" spans="3:6" x14ac:dyDescent="0.25">
      <c r="C79" s="7"/>
      <c r="D79" s="6"/>
      <c r="E79" s="6"/>
      <c r="F79" s="6"/>
    </row>
    <row r="80" spans="3:6" x14ac:dyDescent="0.25">
      <c r="C80" s="7"/>
      <c r="D80" s="6"/>
      <c r="E80" s="6"/>
      <c r="F80" s="6"/>
    </row>
    <row r="81" spans="3:6" x14ac:dyDescent="0.25">
      <c r="C81" s="7"/>
      <c r="D81" s="6"/>
      <c r="E81" s="6"/>
      <c r="F81" s="6"/>
    </row>
    <row r="82" spans="3:6" x14ac:dyDescent="0.25">
      <c r="C82" s="7"/>
      <c r="D82" s="6"/>
      <c r="E82" s="6"/>
      <c r="F82" s="6"/>
    </row>
    <row r="83" spans="3:6" x14ac:dyDescent="0.25">
      <c r="C83" s="7"/>
      <c r="D83" s="6"/>
      <c r="E83" s="6"/>
      <c r="F83" s="6"/>
    </row>
    <row r="84" spans="3:6" x14ac:dyDescent="0.25">
      <c r="C84" s="7"/>
      <c r="D84" s="6"/>
      <c r="E84" s="6"/>
      <c r="F84" s="6"/>
    </row>
    <row r="85" spans="3:6" x14ac:dyDescent="0.25">
      <c r="C85" s="7"/>
      <c r="D85" s="6"/>
      <c r="E85" s="6"/>
      <c r="F85" s="6"/>
    </row>
    <row r="86" spans="3:6" x14ac:dyDescent="0.25">
      <c r="C86" s="7"/>
      <c r="D86" s="6"/>
      <c r="E86" s="6"/>
      <c r="F86" s="6"/>
    </row>
    <row r="87" spans="3:6" x14ac:dyDescent="0.25">
      <c r="C87" s="7"/>
      <c r="D87" s="6"/>
      <c r="E87" s="6"/>
      <c r="F87" s="6"/>
    </row>
    <row r="88" spans="3:6" x14ac:dyDescent="0.25">
      <c r="C88" s="7"/>
      <c r="D88" s="6"/>
      <c r="E88" s="6"/>
      <c r="F88" s="6"/>
    </row>
    <row r="89" spans="3:6" x14ac:dyDescent="0.25">
      <c r="C89" s="7"/>
      <c r="D89" s="6"/>
      <c r="E89" s="6"/>
      <c r="F89" s="6"/>
    </row>
    <row r="90" spans="3:6" x14ac:dyDescent="0.25">
      <c r="C90" s="7"/>
      <c r="D90" s="6"/>
      <c r="E90" s="6"/>
      <c r="F90" s="6"/>
    </row>
    <row r="91" spans="3:6" x14ac:dyDescent="0.25">
      <c r="C91" s="7"/>
      <c r="D91" s="6"/>
      <c r="E91" s="6"/>
      <c r="F91" s="6"/>
    </row>
    <row r="92" spans="3:6" x14ac:dyDescent="0.25">
      <c r="C92" s="7"/>
      <c r="D92" s="6"/>
      <c r="E92" s="6"/>
      <c r="F92" s="6"/>
    </row>
    <row r="93" spans="3:6" x14ac:dyDescent="0.25">
      <c r="C93" s="7"/>
      <c r="D93" s="6"/>
      <c r="E93" s="6"/>
      <c r="F93" s="6"/>
    </row>
    <row r="94" spans="3:6" x14ac:dyDescent="0.25">
      <c r="C94" s="7"/>
      <c r="D94" s="6"/>
      <c r="E94" s="6"/>
      <c r="F94" s="6"/>
    </row>
    <row r="95" spans="3:6" x14ac:dyDescent="0.25">
      <c r="C95" s="7"/>
      <c r="D95" s="7"/>
      <c r="E95" s="7"/>
      <c r="F95" s="7"/>
    </row>
    <row r="96" spans="3:6" x14ac:dyDescent="0.25">
      <c r="C96" s="7"/>
      <c r="D96" s="7"/>
      <c r="E96" s="7"/>
      <c r="F96" s="7"/>
    </row>
    <row r="97" spans="3:6" x14ac:dyDescent="0.25">
      <c r="C97" s="7"/>
      <c r="D97" s="7"/>
      <c r="E97" s="7"/>
      <c r="F97" s="7"/>
    </row>
    <row r="98" spans="3:6" x14ac:dyDescent="0.25">
      <c r="C98" s="7"/>
      <c r="D98" s="7"/>
      <c r="E98" s="7"/>
      <c r="F98" s="7"/>
    </row>
    <row r="99" spans="3:6" x14ac:dyDescent="0.25">
      <c r="C99" s="7"/>
      <c r="D99" s="7"/>
      <c r="E99" s="7"/>
      <c r="F99" s="7"/>
    </row>
    <row r="100" spans="3:6" x14ac:dyDescent="0.25">
      <c r="C100" s="7"/>
      <c r="D100" s="7"/>
      <c r="E100" s="7"/>
      <c r="F100" s="7"/>
    </row>
    <row r="101" spans="3:6" x14ac:dyDescent="0.25">
      <c r="C101" s="7"/>
      <c r="D101" s="7"/>
      <c r="E101" s="7"/>
      <c r="F101" s="7"/>
    </row>
    <row r="102" spans="3:6" x14ac:dyDescent="0.25">
      <c r="C102" s="7"/>
      <c r="D102" s="7"/>
      <c r="E102" s="7"/>
      <c r="F102" s="7"/>
    </row>
    <row r="103" spans="3:6" x14ac:dyDescent="0.25">
      <c r="C103" s="7"/>
      <c r="D103" s="7"/>
      <c r="E103" s="7"/>
      <c r="F103" s="7"/>
    </row>
    <row r="104" spans="3:6" x14ac:dyDescent="0.25">
      <c r="C104" s="7"/>
      <c r="D104" s="7"/>
      <c r="E104" s="7"/>
      <c r="F104" s="7"/>
    </row>
    <row r="105" spans="3:6" x14ac:dyDescent="0.25">
      <c r="C105" s="7"/>
      <c r="D105" s="7"/>
      <c r="E105" s="7"/>
      <c r="F105" s="7"/>
    </row>
    <row r="106" spans="3:6" x14ac:dyDescent="0.25">
      <c r="C106" s="7"/>
      <c r="D106" s="7"/>
      <c r="E106" s="7"/>
      <c r="F106" s="7"/>
    </row>
    <row r="107" spans="3:6" x14ac:dyDescent="0.25">
      <c r="C107" s="7"/>
      <c r="D107" s="7"/>
      <c r="E107" s="7"/>
      <c r="F107" s="7"/>
    </row>
    <row r="108" spans="3:6" x14ac:dyDescent="0.25">
      <c r="C108" s="7"/>
      <c r="D108" s="7"/>
      <c r="E108" s="7"/>
      <c r="F108" s="7"/>
    </row>
    <row r="109" spans="3:6" x14ac:dyDescent="0.25">
      <c r="C109" s="7"/>
      <c r="D109" s="7"/>
      <c r="E109" s="7"/>
      <c r="F109" s="7"/>
    </row>
    <row r="110" spans="3:6" x14ac:dyDescent="0.25">
      <c r="C110" s="7"/>
      <c r="D110" s="7"/>
      <c r="E110" s="7"/>
      <c r="F110" s="7"/>
    </row>
    <row r="111" spans="3:6" x14ac:dyDescent="0.25">
      <c r="C111" s="7"/>
      <c r="D111" s="7"/>
      <c r="E111" s="7"/>
      <c r="F111" s="7"/>
    </row>
    <row r="112" spans="3:6" x14ac:dyDescent="0.25">
      <c r="C112" s="7"/>
      <c r="D112" s="7"/>
      <c r="E112" s="7"/>
      <c r="F112" s="7"/>
    </row>
    <row r="113" spans="3:6" x14ac:dyDescent="0.25">
      <c r="C113" s="7"/>
      <c r="D113" s="7"/>
      <c r="E113" s="7"/>
      <c r="F113" s="7"/>
    </row>
    <row r="114" spans="3:6" x14ac:dyDescent="0.25">
      <c r="C114" s="7"/>
      <c r="D114" s="7"/>
      <c r="E114" s="7"/>
      <c r="F114" s="7"/>
    </row>
    <row r="115" spans="3:6" x14ac:dyDescent="0.25">
      <c r="C115" s="7"/>
      <c r="D115" s="7"/>
      <c r="E115" s="7"/>
      <c r="F115" s="7"/>
    </row>
    <row r="116" spans="3:6" x14ac:dyDescent="0.25">
      <c r="C116" s="7"/>
      <c r="D116" s="7"/>
      <c r="E116" s="7"/>
      <c r="F116" s="7"/>
    </row>
    <row r="117" spans="3:6" x14ac:dyDescent="0.25">
      <c r="C117" s="7"/>
      <c r="D117" s="7"/>
      <c r="E117" s="7"/>
      <c r="F117" s="7"/>
    </row>
    <row r="118" spans="3:6" x14ac:dyDescent="0.25">
      <c r="C118" s="7"/>
      <c r="D118" s="7"/>
      <c r="E118" s="7"/>
      <c r="F118" s="7"/>
    </row>
    <row r="119" spans="3:6" x14ac:dyDescent="0.25">
      <c r="C119" s="7"/>
      <c r="D119" s="7"/>
      <c r="E119" s="7"/>
      <c r="F119" s="7"/>
    </row>
    <row r="120" spans="3:6" x14ac:dyDescent="0.25">
      <c r="C120" s="7"/>
      <c r="D120" s="7"/>
      <c r="E120" s="7"/>
      <c r="F120" s="7"/>
    </row>
    <row r="121" spans="3:6" x14ac:dyDescent="0.25">
      <c r="C121" s="7"/>
      <c r="D121" s="7"/>
      <c r="E121" s="7"/>
      <c r="F121" s="7"/>
    </row>
    <row r="122" spans="3:6" x14ac:dyDescent="0.25">
      <c r="C122" s="7"/>
      <c r="D122" s="7"/>
      <c r="E122" s="7"/>
      <c r="F122" s="7"/>
    </row>
    <row r="123" spans="3:6" x14ac:dyDescent="0.25">
      <c r="C123" s="7"/>
      <c r="D123" s="7"/>
      <c r="E123" s="7"/>
      <c r="F123" s="7"/>
    </row>
    <row r="124" spans="3:6" x14ac:dyDescent="0.25">
      <c r="C124" s="7"/>
      <c r="D124" s="7"/>
      <c r="E124" s="7"/>
      <c r="F124" s="7"/>
    </row>
    <row r="125" spans="3:6" x14ac:dyDescent="0.25">
      <c r="C125" s="7"/>
      <c r="D125" s="7"/>
      <c r="E125" s="7"/>
      <c r="F125" s="7"/>
    </row>
    <row r="126" spans="3:6" x14ac:dyDescent="0.25">
      <c r="C126" s="7"/>
      <c r="D126" s="7"/>
      <c r="E126" s="7"/>
      <c r="F126" s="7"/>
    </row>
    <row r="127" spans="3:6" x14ac:dyDescent="0.25">
      <c r="C127" s="7"/>
      <c r="D127" s="7"/>
      <c r="E127" s="7"/>
      <c r="F127" s="7"/>
    </row>
    <row r="128" spans="3:6" x14ac:dyDescent="0.25">
      <c r="C128" s="7"/>
      <c r="D128" s="7"/>
      <c r="E128" s="7"/>
      <c r="F128" s="7"/>
    </row>
    <row r="129" spans="3:6" x14ac:dyDescent="0.25">
      <c r="C129" s="7"/>
      <c r="D129" s="7"/>
      <c r="E129" s="7"/>
      <c r="F129" s="7"/>
    </row>
    <row r="130" spans="3:6" x14ac:dyDescent="0.25">
      <c r="C130" s="7"/>
      <c r="D130" s="7"/>
      <c r="E130" s="7"/>
      <c r="F130" s="7"/>
    </row>
    <row r="131" spans="3:6" x14ac:dyDescent="0.25">
      <c r="C131" s="7"/>
      <c r="D131" s="7"/>
      <c r="E131" s="7"/>
      <c r="F131" s="7"/>
    </row>
    <row r="132" spans="3:6" x14ac:dyDescent="0.25">
      <c r="C132" s="7"/>
      <c r="D132" s="7"/>
      <c r="E132" s="7"/>
      <c r="F132" s="7"/>
    </row>
    <row r="133" spans="3:6" x14ac:dyDescent="0.25">
      <c r="C133" s="7"/>
      <c r="D133" s="7"/>
      <c r="E133" s="7"/>
      <c r="F133" s="7"/>
    </row>
    <row r="134" spans="3:6" x14ac:dyDescent="0.25">
      <c r="C134" s="7"/>
      <c r="D134" s="7"/>
      <c r="E134" s="7"/>
      <c r="F134" s="7"/>
    </row>
    <row r="135" spans="3:6" x14ac:dyDescent="0.25">
      <c r="C135" s="7"/>
      <c r="D135" s="7"/>
      <c r="E135" s="7"/>
      <c r="F135" s="7"/>
    </row>
    <row r="136" spans="3:6" x14ac:dyDescent="0.25">
      <c r="C136" s="7"/>
      <c r="D136" s="7"/>
      <c r="E136" s="7"/>
      <c r="F136" s="7"/>
    </row>
    <row r="137" spans="3:6" x14ac:dyDescent="0.25">
      <c r="C137" s="7"/>
      <c r="D137" s="7"/>
      <c r="E137" s="7"/>
      <c r="F137" s="7"/>
    </row>
    <row r="138" spans="3:6" x14ac:dyDescent="0.25">
      <c r="C138" s="7"/>
      <c r="D138" s="7"/>
      <c r="E138" s="7"/>
      <c r="F138" s="7"/>
    </row>
    <row r="139" spans="3:6" x14ac:dyDescent="0.25">
      <c r="C139" s="7"/>
      <c r="D139" s="7"/>
      <c r="E139" s="7"/>
      <c r="F139" s="7"/>
    </row>
    <row r="140" spans="3:6" x14ac:dyDescent="0.25">
      <c r="C140" s="7"/>
      <c r="D140" s="7"/>
      <c r="E140" s="7"/>
      <c r="F140" s="7"/>
    </row>
    <row r="141" spans="3:6" x14ac:dyDescent="0.25">
      <c r="C141" s="7"/>
      <c r="D141" s="7"/>
      <c r="E141" s="7"/>
      <c r="F141" s="7"/>
    </row>
    <row r="142" spans="3:6" x14ac:dyDescent="0.25">
      <c r="C142" s="7"/>
      <c r="D142" s="7"/>
      <c r="E142" s="7"/>
      <c r="F142" s="7"/>
    </row>
    <row r="143" spans="3:6" x14ac:dyDescent="0.25">
      <c r="C143" s="7"/>
      <c r="D143" s="7"/>
      <c r="E143" s="7"/>
      <c r="F143" s="7"/>
    </row>
    <row r="144" spans="3:6" x14ac:dyDescent="0.25">
      <c r="C144" s="7"/>
      <c r="D144" s="7"/>
      <c r="E144" s="7"/>
      <c r="F144" s="7"/>
    </row>
    <row r="145" spans="3:6" x14ac:dyDescent="0.25">
      <c r="C145" s="7"/>
      <c r="D145" s="7"/>
      <c r="E145" s="7"/>
      <c r="F145" s="7"/>
    </row>
    <row r="146" spans="3:6" x14ac:dyDescent="0.25">
      <c r="C146" s="7"/>
      <c r="D146" s="7"/>
      <c r="E146" s="7"/>
      <c r="F146" s="7"/>
    </row>
    <row r="147" spans="3:6" x14ac:dyDescent="0.25">
      <c r="C147" s="7"/>
      <c r="D147" s="7"/>
      <c r="E147" s="7"/>
      <c r="F147" s="7"/>
    </row>
    <row r="148" spans="3:6" x14ac:dyDescent="0.25">
      <c r="C148" s="7"/>
      <c r="D148" s="7"/>
      <c r="E148" s="7"/>
      <c r="F148" s="7"/>
    </row>
    <row r="149" spans="3:6" x14ac:dyDescent="0.25">
      <c r="C149" s="7"/>
      <c r="D149" s="7"/>
      <c r="E149" s="7"/>
      <c r="F149" s="7"/>
    </row>
    <row r="150" spans="3:6" x14ac:dyDescent="0.25">
      <c r="C150" s="7"/>
      <c r="D150" s="7"/>
      <c r="E150" s="7"/>
      <c r="F150" s="7"/>
    </row>
    <row r="151" spans="3:6" x14ac:dyDescent="0.25">
      <c r="C151" s="7"/>
      <c r="D151" s="7"/>
      <c r="E151" s="7"/>
      <c r="F151" s="7"/>
    </row>
    <row r="152" spans="3:6" x14ac:dyDescent="0.25">
      <c r="C152" s="7"/>
      <c r="D152" s="7"/>
      <c r="E152" s="7"/>
      <c r="F152" s="7"/>
    </row>
    <row r="153" spans="3:6" x14ac:dyDescent="0.25">
      <c r="C153" s="7"/>
      <c r="D153" s="7"/>
      <c r="E153" s="7"/>
      <c r="F153" s="7"/>
    </row>
    <row r="154" spans="3:6" x14ac:dyDescent="0.25">
      <c r="C154" s="7"/>
      <c r="D154" s="7"/>
      <c r="E154" s="7"/>
      <c r="F154" s="7"/>
    </row>
    <row r="155" spans="3:6" x14ac:dyDescent="0.25">
      <c r="C155" s="7"/>
      <c r="D155" s="7"/>
      <c r="E155" s="7"/>
      <c r="F155" s="7"/>
    </row>
    <row r="156" spans="3:6" x14ac:dyDescent="0.25">
      <c r="C156" s="7"/>
      <c r="D156" s="7"/>
      <c r="E156" s="7"/>
      <c r="F156" s="7"/>
    </row>
    <row r="157" spans="3:6" x14ac:dyDescent="0.25">
      <c r="C157" s="7"/>
      <c r="D157" s="7"/>
      <c r="E157" s="7"/>
      <c r="F157" s="7"/>
    </row>
    <row r="158" spans="3:6" x14ac:dyDescent="0.25">
      <c r="C158" s="7"/>
      <c r="D158" s="7"/>
      <c r="E158" s="7"/>
      <c r="F158" s="7"/>
    </row>
    <row r="159" spans="3:6" x14ac:dyDescent="0.25">
      <c r="C159" s="7"/>
      <c r="D159" s="7"/>
      <c r="E159" s="7"/>
      <c r="F159" s="7"/>
    </row>
    <row r="160" spans="3:6" x14ac:dyDescent="0.25">
      <c r="C160" s="7"/>
      <c r="D160" s="7"/>
      <c r="E160" s="7"/>
      <c r="F160" s="7"/>
    </row>
    <row r="161" spans="3:6" x14ac:dyDescent="0.25">
      <c r="C161" s="7"/>
      <c r="D161" s="7"/>
      <c r="E161" s="7"/>
      <c r="F161" s="7"/>
    </row>
    <row r="162" spans="3:6" x14ac:dyDescent="0.25">
      <c r="C162" s="7"/>
      <c r="D162" s="7"/>
      <c r="E162" s="7"/>
      <c r="F162" s="7"/>
    </row>
    <row r="163" spans="3:6" x14ac:dyDescent="0.25">
      <c r="C163" s="7"/>
      <c r="D163" s="7"/>
      <c r="E163" s="7"/>
      <c r="F163" s="7"/>
    </row>
    <row r="164" spans="3:6" x14ac:dyDescent="0.25">
      <c r="C164" s="7"/>
      <c r="D164" s="7"/>
      <c r="E164" s="7"/>
      <c r="F164" s="7"/>
    </row>
    <row r="165" spans="3:6" x14ac:dyDescent="0.25">
      <c r="C165" s="7"/>
      <c r="D165" s="7"/>
      <c r="E165" s="7"/>
      <c r="F165" s="7"/>
    </row>
    <row r="166" spans="3:6" x14ac:dyDescent="0.25">
      <c r="C166" s="7"/>
      <c r="D166" s="7"/>
      <c r="E166" s="7"/>
      <c r="F166" s="7"/>
    </row>
    <row r="167" spans="3:6" x14ac:dyDescent="0.25">
      <c r="C167" s="7"/>
      <c r="D167" s="7"/>
      <c r="E167" s="7"/>
      <c r="F167" s="7"/>
    </row>
    <row r="168" spans="3:6" x14ac:dyDescent="0.25">
      <c r="C168" s="7"/>
      <c r="D168" s="7"/>
      <c r="E168" s="7"/>
      <c r="F168" s="7"/>
    </row>
    <row r="169" spans="3:6" x14ac:dyDescent="0.25">
      <c r="C169" s="7"/>
      <c r="D169" s="7"/>
      <c r="E169" s="7"/>
      <c r="F169" s="7"/>
    </row>
    <row r="170" spans="3:6" x14ac:dyDescent="0.25">
      <c r="C170" s="7"/>
      <c r="D170" s="7"/>
      <c r="E170" s="7"/>
      <c r="F170" s="7"/>
    </row>
    <row r="171" spans="3:6" x14ac:dyDescent="0.25">
      <c r="C171" s="7"/>
      <c r="D171" s="7"/>
      <c r="E171" s="7"/>
      <c r="F171" s="7"/>
    </row>
    <row r="172" spans="3:6" x14ac:dyDescent="0.25">
      <c r="C172" s="7"/>
      <c r="D172" s="7"/>
      <c r="E172" s="7"/>
      <c r="F172" s="7"/>
    </row>
    <row r="173" spans="3:6" x14ac:dyDescent="0.25">
      <c r="C173" s="7"/>
      <c r="D173" s="7"/>
      <c r="E173" s="7"/>
      <c r="F173" s="7"/>
    </row>
    <row r="174" spans="3:6" x14ac:dyDescent="0.25">
      <c r="C174" s="7"/>
      <c r="D174" s="7"/>
      <c r="E174" s="7"/>
      <c r="F174" s="7"/>
    </row>
    <row r="175" spans="3:6" x14ac:dyDescent="0.25">
      <c r="C175" s="7"/>
      <c r="D175" s="7"/>
      <c r="E175" s="7"/>
      <c r="F175" s="7"/>
    </row>
    <row r="176" spans="3:6" x14ac:dyDescent="0.25">
      <c r="C176" s="7"/>
      <c r="D176" s="7"/>
      <c r="E176" s="7"/>
      <c r="F176" s="7"/>
    </row>
    <row r="177" spans="3:6" x14ac:dyDescent="0.25">
      <c r="C177" s="7"/>
      <c r="D177" s="7"/>
      <c r="E177" s="7"/>
      <c r="F177" s="7"/>
    </row>
    <row r="178" spans="3:6" x14ac:dyDescent="0.25">
      <c r="C178" s="7"/>
      <c r="D178" s="7"/>
      <c r="E178" s="7"/>
      <c r="F178" s="7"/>
    </row>
    <row r="179" spans="3:6" x14ac:dyDescent="0.25">
      <c r="C179" s="7"/>
      <c r="D179" s="7"/>
      <c r="E179" s="7"/>
      <c r="F179" s="7"/>
    </row>
    <row r="180" spans="3:6" x14ac:dyDescent="0.25">
      <c r="C180" s="7"/>
      <c r="D180" s="7"/>
      <c r="E180" s="7"/>
      <c r="F180" s="7"/>
    </row>
    <row r="181" spans="3:6" x14ac:dyDescent="0.25">
      <c r="C181" s="7"/>
      <c r="D181" s="7"/>
      <c r="E181" s="7"/>
      <c r="F181" s="7"/>
    </row>
    <row r="182" spans="3:6" x14ac:dyDescent="0.25">
      <c r="C182" s="7"/>
      <c r="D182" s="7"/>
      <c r="E182" s="7"/>
      <c r="F182" s="7"/>
    </row>
    <row r="183" spans="3:6" x14ac:dyDescent="0.25">
      <c r="C183" s="7"/>
      <c r="D183" s="7"/>
      <c r="E183" s="7"/>
      <c r="F183" s="7"/>
    </row>
    <row r="184" spans="3:6" x14ac:dyDescent="0.25">
      <c r="C184" s="7"/>
      <c r="D184" s="7"/>
      <c r="E184" s="7"/>
      <c r="F184" s="7"/>
    </row>
    <row r="185" spans="3:6" x14ac:dyDescent="0.25">
      <c r="C185" s="7"/>
      <c r="D185" s="7"/>
      <c r="E185" s="7"/>
      <c r="F185" s="7"/>
    </row>
    <row r="186" spans="3:6" x14ac:dyDescent="0.25">
      <c r="C186" s="7"/>
      <c r="D186" s="7"/>
      <c r="E186" s="7"/>
      <c r="F186" s="7"/>
    </row>
    <row r="187" spans="3:6" x14ac:dyDescent="0.25">
      <c r="C187" s="7"/>
      <c r="D187" s="7"/>
      <c r="E187" s="7"/>
      <c r="F187" s="7"/>
    </row>
    <row r="188" spans="3:6" x14ac:dyDescent="0.25">
      <c r="C188" s="7"/>
      <c r="D188" s="7"/>
      <c r="E188" s="7"/>
      <c r="F188" s="7"/>
    </row>
    <row r="189" spans="3:6" x14ac:dyDescent="0.25">
      <c r="C189" s="7"/>
      <c r="D189" s="7"/>
      <c r="E189" s="7"/>
      <c r="F189" s="7"/>
    </row>
    <row r="190" spans="3:6" x14ac:dyDescent="0.25">
      <c r="C190" s="7"/>
      <c r="D190" s="7"/>
      <c r="E190" s="7"/>
      <c r="F190" s="7"/>
    </row>
    <row r="191" spans="3:6" x14ac:dyDescent="0.25">
      <c r="C191" s="7"/>
      <c r="D191" s="7"/>
      <c r="E191" s="7"/>
      <c r="F191" s="7"/>
    </row>
    <row r="192" spans="3:6" x14ac:dyDescent="0.25">
      <c r="C192" s="7"/>
      <c r="D192" s="7"/>
      <c r="E192" s="7"/>
      <c r="F192" s="7"/>
    </row>
    <row r="193" spans="3:6" x14ac:dyDescent="0.25">
      <c r="C193" s="7"/>
      <c r="D193" s="7"/>
      <c r="E193" s="7"/>
      <c r="F193" s="7"/>
    </row>
    <row r="194" spans="3:6" x14ac:dyDescent="0.25">
      <c r="C194" s="7"/>
      <c r="D194" s="7"/>
      <c r="E194" s="7"/>
      <c r="F194" s="7"/>
    </row>
    <row r="195" spans="3:6" x14ac:dyDescent="0.25">
      <c r="C195" s="7"/>
      <c r="D195" s="7"/>
      <c r="E195" s="7"/>
      <c r="F195" s="7"/>
    </row>
    <row r="196" spans="3:6" x14ac:dyDescent="0.25">
      <c r="C196" s="7"/>
      <c r="D196" s="7"/>
      <c r="E196" s="7"/>
      <c r="F196" s="7"/>
    </row>
    <row r="197" spans="3:6" x14ac:dyDescent="0.25">
      <c r="C197" s="7"/>
      <c r="D197" s="7"/>
      <c r="E197" s="7"/>
      <c r="F197" s="7"/>
    </row>
    <row r="198" spans="3:6" x14ac:dyDescent="0.25">
      <c r="C198" s="7"/>
      <c r="D198" s="7"/>
      <c r="E198" s="7"/>
      <c r="F198" s="7"/>
    </row>
    <row r="199" spans="3:6" x14ac:dyDescent="0.25">
      <c r="C199" s="7"/>
      <c r="D199" s="7"/>
      <c r="E199" s="7"/>
      <c r="F199" s="7"/>
    </row>
    <row r="200" spans="3:6" x14ac:dyDescent="0.25">
      <c r="C200" s="7"/>
      <c r="D200" s="7"/>
      <c r="E200" s="7"/>
      <c r="F200" s="7"/>
    </row>
    <row r="201" spans="3:6" x14ac:dyDescent="0.25">
      <c r="C201" s="7"/>
      <c r="D201" s="7"/>
      <c r="E201" s="7"/>
      <c r="F201" s="7"/>
    </row>
    <row r="202" spans="3:6" x14ac:dyDescent="0.25">
      <c r="C202" s="7"/>
      <c r="D202" s="7"/>
      <c r="E202" s="7"/>
      <c r="F202" s="7"/>
    </row>
    <row r="203" spans="3:6" x14ac:dyDescent="0.25">
      <c r="C203" s="7"/>
      <c r="D203" s="7"/>
      <c r="E203" s="7"/>
      <c r="F203" s="7"/>
    </row>
    <row r="204" spans="3:6" x14ac:dyDescent="0.25">
      <c r="C204" s="7"/>
      <c r="D204" s="7"/>
      <c r="E204" s="7"/>
      <c r="F204" s="7"/>
    </row>
    <row r="205" spans="3:6" x14ac:dyDescent="0.25">
      <c r="C205" s="7"/>
      <c r="D205" s="7"/>
      <c r="E205" s="7"/>
      <c r="F205" s="7"/>
    </row>
    <row r="206" spans="3:6" x14ac:dyDescent="0.25">
      <c r="C206" s="7"/>
      <c r="D206" s="7"/>
      <c r="E206" s="7"/>
      <c r="F206" s="7"/>
    </row>
    <row r="207" spans="3:6" x14ac:dyDescent="0.25">
      <c r="C207" s="7"/>
      <c r="D207" s="7"/>
      <c r="E207" s="7"/>
      <c r="F207" s="7"/>
    </row>
    <row r="208" spans="3:6" x14ac:dyDescent="0.25">
      <c r="C208" s="7"/>
      <c r="D208" s="7"/>
      <c r="E208" s="7"/>
      <c r="F208" s="7"/>
    </row>
    <row r="209" spans="3:6" x14ac:dyDescent="0.25">
      <c r="C209" s="7"/>
      <c r="D209" s="7"/>
      <c r="E209" s="7"/>
      <c r="F209" s="7"/>
    </row>
    <row r="210" spans="3:6" x14ac:dyDescent="0.25">
      <c r="C210" s="7"/>
      <c r="D210" s="7"/>
      <c r="E210" s="7"/>
      <c r="F210" s="7"/>
    </row>
    <row r="211" spans="3:6" x14ac:dyDescent="0.25">
      <c r="C211" s="7"/>
      <c r="D211" s="7"/>
      <c r="E211" s="7"/>
      <c r="F211" s="7"/>
    </row>
    <row r="212" spans="3:6" x14ac:dyDescent="0.25">
      <c r="C212" s="7"/>
      <c r="D212" s="7"/>
      <c r="E212" s="7"/>
      <c r="F212" s="7"/>
    </row>
    <row r="213" spans="3:6" x14ac:dyDescent="0.25">
      <c r="C213" s="7"/>
      <c r="D213" s="7"/>
      <c r="E213" s="7"/>
      <c r="F213" s="7"/>
    </row>
    <row r="214" spans="3:6" x14ac:dyDescent="0.25">
      <c r="C214" s="7"/>
      <c r="D214" s="7"/>
      <c r="E214" s="7"/>
      <c r="F214" s="7"/>
    </row>
    <row r="215" spans="3:6" x14ac:dyDescent="0.25">
      <c r="C215" s="7"/>
      <c r="D215" s="7"/>
      <c r="E215" s="7"/>
      <c r="F215" s="7"/>
    </row>
    <row r="216" spans="3:6" x14ac:dyDescent="0.25">
      <c r="C216" s="7"/>
      <c r="D216" s="7"/>
      <c r="E216" s="7"/>
      <c r="F216" s="7"/>
    </row>
    <row r="217" spans="3:6" x14ac:dyDescent="0.25">
      <c r="C217" s="7"/>
      <c r="D217" s="7"/>
      <c r="E217" s="7"/>
      <c r="F217" s="7"/>
    </row>
    <row r="218" spans="3:6" x14ac:dyDescent="0.25">
      <c r="C218" s="7"/>
      <c r="D218" s="7"/>
      <c r="E218" s="7"/>
      <c r="F218" s="7"/>
    </row>
    <row r="219" spans="3:6" x14ac:dyDescent="0.25">
      <c r="C219" s="7"/>
      <c r="D219" s="7"/>
      <c r="E219" s="7"/>
      <c r="F219" s="7"/>
    </row>
    <row r="220" spans="3:6" x14ac:dyDescent="0.25">
      <c r="C220" s="7"/>
      <c r="D220" s="7"/>
      <c r="E220" s="7"/>
      <c r="F220" s="7"/>
    </row>
    <row r="221" spans="3:6" x14ac:dyDescent="0.25">
      <c r="C221" s="7"/>
      <c r="D221" s="7"/>
      <c r="E221" s="7"/>
      <c r="F221" s="7"/>
    </row>
    <row r="222" spans="3:6" x14ac:dyDescent="0.25">
      <c r="C222" s="7"/>
      <c r="D222" s="7"/>
      <c r="E222" s="7"/>
      <c r="F222" s="7"/>
    </row>
    <row r="223" spans="3:6" x14ac:dyDescent="0.25">
      <c r="C223" s="7"/>
      <c r="D223" s="7"/>
      <c r="E223" s="7"/>
      <c r="F223" s="7"/>
    </row>
    <row r="224" spans="3:6" x14ac:dyDescent="0.25">
      <c r="C224" s="7"/>
      <c r="D224" s="7"/>
      <c r="E224" s="7"/>
      <c r="F224" s="7"/>
    </row>
    <row r="225" spans="3:6" x14ac:dyDescent="0.25">
      <c r="C225" s="7"/>
      <c r="D225" s="7"/>
      <c r="E225" s="7"/>
      <c r="F225" s="7"/>
    </row>
    <row r="226" spans="3:6" x14ac:dyDescent="0.25">
      <c r="C226" s="7"/>
      <c r="D226" s="7"/>
      <c r="E226" s="7"/>
      <c r="F226" s="7"/>
    </row>
    <row r="227" spans="3:6" x14ac:dyDescent="0.25">
      <c r="C227" s="7"/>
      <c r="D227" s="7"/>
      <c r="E227" s="7"/>
      <c r="F227" s="7"/>
    </row>
    <row r="228" spans="3:6" x14ac:dyDescent="0.25">
      <c r="C228" s="7"/>
      <c r="D228" s="7"/>
      <c r="E228" s="7"/>
      <c r="F228" s="7"/>
    </row>
    <row r="229" spans="3:6" x14ac:dyDescent="0.25">
      <c r="C229" s="7"/>
      <c r="D229" s="7"/>
      <c r="E229" s="7"/>
      <c r="F229" s="7"/>
    </row>
    <row r="230" spans="3:6" x14ac:dyDescent="0.25">
      <c r="C230" s="7"/>
      <c r="D230" s="7"/>
      <c r="E230" s="7"/>
      <c r="F230" s="7"/>
    </row>
    <row r="231" spans="3:6" x14ac:dyDescent="0.25">
      <c r="C231" s="7"/>
      <c r="D231" s="7"/>
      <c r="E231" s="7"/>
      <c r="F231" s="7"/>
    </row>
    <row r="232" spans="3:6" x14ac:dyDescent="0.25">
      <c r="C232" s="7"/>
      <c r="D232" s="7"/>
      <c r="E232" s="7"/>
      <c r="F232" s="7"/>
    </row>
    <row r="233" spans="3:6" x14ac:dyDescent="0.25">
      <c r="C233" s="7"/>
      <c r="D233" s="7"/>
      <c r="E233" s="7"/>
      <c r="F233" s="7"/>
    </row>
  </sheetData>
  <sheetProtection algorithmName="SHA-512" hashValue="AlLv4kv0Z+5gXdnvguHRZM0Rb/CdmyuzlrWAkTBGCQfevwsVgarUDeILMaV0h8qnP1KeReuP4RuGidFHbagMHQ==" saltValue="0hTqSMqkzYVYVG8EgVzcjg==" spinCount="100000" sheet="1" formatCells="0" formatColumns="0" formatRows="0" insertColumns="0" insertRows="0" insertHyperlinks="0" deleteColumns="0" deleteRows="0" sort="0" autoFilter="0" pivotTables="0"/>
  <mergeCells count="29">
    <mergeCell ref="D6:E6"/>
    <mergeCell ref="D7:E7"/>
    <mergeCell ref="D8:E8"/>
    <mergeCell ref="A1:F1"/>
    <mergeCell ref="B12:C12"/>
    <mergeCell ref="B11:C11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E34:F34"/>
    <mergeCell ref="C33:D33"/>
    <mergeCell ref="C34:D34"/>
    <mergeCell ref="B28:C28"/>
    <mergeCell ref="B29:C29"/>
    <mergeCell ref="B30:C30"/>
    <mergeCell ref="B31:C31"/>
    <mergeCell ref="E33:F3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B1C9A-9348-4F37-9A8F-CF16870FB9E4}">
  <sheetPr codeName="Sheet7"/>
  <dimension ref="A1:J233"/>
  <sheetViews>
    <sheetView showGridLines="0" topLeftCell="A2" workbookViewId="0">
      <selection activeCell="E26" sqref="E26"/>
    </sheetView>
  </sheetViews>
  <sheetFormatPr defaultRowHeight="13.8" x14ac:dyDescent="0.25"/>
  <cols>
    <col min="1" max="1" width="4.69921875" style="6" customWidth="1"/>
    <col min="2" max="2" width="20.69921875" style="6" customWidth="1"/>
    <col min="3" max="3" width="20.69921875" customWidth="1"/>
    <col min="4" max="4" width="7.69921875" customWidth="1"/>
    <col min="5" max="6" width="15.296875" customWidth="1"/>
    <col min="9" max="9" width="13.296875" customWidth="1"/>
  </cols>
  <sheetData>
    <row r="1" spans="1:10" ht="18" x14ac:dyDescent="0.25">
      <c r="A1" s="126" t="s">
        <v>79</v>
      </c>
      <c r="B1" s="127"/>
      <c r="C1" s="127"/>
      <c r="D1" s="127"/>
      <c r="E1" s="127"/>
      <c r="F1" s="128"/>
    </row>
    <row r="2" spans="1:10" x14ac:dyDescent="0.25">
      <c r="A2" s="15"/>
      <c r="B2" s="63" t="s">
        <v>45</v>
      </c>
      <c r="C2" s="16"/>
      <c r="D2" s="16"/>
      <c r="E2" s="62" t="s">
        <v>80</v>
      </c>
      <c r="F2" s="21"/>
    </row>
    <row r="3" spans="1:10" x14ac:dyDescent="0.25">
      <c r="A3" s="15"/>
      <c r="B3" s="63" t="s">
        <v>33</v>
      </c>
      <c r="C3" s="16"/>
      <c r="E3" s="62" t="s">
        <v>34</v>
      </c>
      <c r="F3" s="50"/>
    </row>
    <row r="4" spans="1:10" ht="15.6" x14ac:dyDescent="0.3">
      <c r="A4" s="15"/>
      <c r="B4" s="63" t="s">
        <v>35</v>
      </c>
      <c r="C4" s="16"/>
      <c r="D4" s="17"/>
      <c r="E4" s="62" t="s">
        <v>37</v>
      </c>
      <c r="F4" s="51"/>
    </row>
    <row r="5" spans="1:10" ht="15.6" x14ac:dyDescent="0.3">
      <c r="A5" s="15"/>
      <c r="B5" s="16"/>
      <c r="C5" s="16"/>
      <c r="D5" s="1"/>
      <c r="E5" s="17"/>
      <c r="F5" s="18"/>
    </row>
    <row r="6" spans="1:10" ht="15.6" x14ac:dyDescent="0.3">
      <c r="A6" s="15"/>
      <c r="B6" s="63" t="s">
        <v>55</v>
      </c>
      <c r="C6" s="16"/>
      <c r="D6" s="144"/>
      <c r="E6" s="144"/>
      <c r="F6" s="18"/>
    </row>
    <row r="7" spans="1:10" ht="15.6" x14ac:dyDescent="0.3">
      <c r="A7" s="15"/>
      <c r="B7" s="63" t="s">
        <v>50</v>
      </c>
      <c r="C7" s="16"/>
      <c r="D7" s="145"/>
      <c r="E7" s="145"/>
      <c r="F7" s="18"/>
    </row>
    <row r="8" spans="1:10" ht="15.6" x14ac:dyDescent="0.3">
      <c r="A8" s="15"/>
      <c r="B8" s="63" t="s">
        <v>69</v>
      </c>
      <c r="C8" s="16"/>
      <c r="D8" s="146" t="s">
        <v>82</v>
      </c>
      <c r="E8" s="146"/>
      <c r="F8" s="19"/>
    </row>
    <row r="9" spans="1:10" x14ac:dyDescent="0.25">
      <c r="A9" s="15"/>
      <c r="F9" s="20"/>
    </row>
    <row r="10" spans="1:10" x14ac:dyDescent="0.25">
      <c r="A10" s="15"/>
      <c r="F10" s="20"/>
    </row>
    <row r="11" spans="1:10" x14ac:dyDescent="0.25">
      <c r="A11" s="10" t="s">
        <v>64</v>
      </c>
      <c r="B11" s="147" t="s">
        <v>46</v>
      </c>
      <c r="C11" s="148"/>
      <c r="D11" s="11" t="s">
        <v>47</v>
      </c>
      <c r="E11" s="11" t="s">
        <v>49</v>
      </c>
      <c r="F11" s="11" t="s">
        <v>48</v>
      </c>
      <c r="I11" s="55" t="s">
        <v>88</v>
      </c>
      <c r="J11" s="53">
        <v>1</v>
      </c>
    </row>
    <row r="12" spans="1:10" x14ac:dyDescent="0.25">
      <c r="A12" s="10">
        <v>1</v>
      </c>
      <c r="B12" s="140" t="s">
        <v>51</v>
      </c>
      <c r="C12" s="141"/>
      <c r="D12" s="105">
        <v>0</v>
      </c>
      <c r="E12" s="57">
        <v>0</v>
      </c>
      <c r="F12" s="14">
        <f t="shared" ref="F12:F31" si="0">D12*E12</f>
        <v>0</v>
      </c>
      <c r="I12" s="56" t="s">
        <v>87</v>
      </c>
      <c r="J12" s="54">
        <v>1</v>
      </c>
    </row>
    <row r="13" spans="1:10" x14ac:dyDescent="0.25">
      <c r="A13" s="10">
        <v>2</v>
      </c>
      <c r="B13" s="140" t="s">
        <v>52</v>
      </c>
      <c r="C13" s="141" t="s">
        <v>52</v>
      </c>
      <c r="D13" s="106">
        <v>0.05</v>
      </c>
      <c r="E13" s="52">
        <f>D12*E12</f>
        <v>0</v>
      </c>
      <c r="F13" s="14">
        <f t="shared" si="0"/>
        <v>0</v>
      </c>
      <c r="I13" s="55" t="s">
        <v>86</v>
      </c>
      <c r="J13" s="28">
        <v>1</v>
      </c>
    </row>
    <row r="14" spans="1:10" x14ac:dyDescent="0.25">
      <c r="A14" s="10">
        <v>3</v>
      </c>
      <c r="B14" s="140" t="s">
        <v>54</v>
      </c>
      <c r="C14" s="141" t="s">
        <v>54</v>
      </c>
      <c r="D14" s="106">
        <v>0.05</v>
      </c>
      <c r="E14" s="52">
        <f>D12*E12</f>
        <v>0</v>
      </c>
      <c r="F14" s="14">
        <f>D14*E14</f>
        <v>0</v>
      </c>
    </row>
    <row r="15" spans="1:10" x14ac:dyDescent="0.25">
      <c r="A15" s="10">
        <v>4</v>
      </c>
      <c r="B15" s="140" t="s">
        <v>56</v>
      </c>
      <c r="C15" s="141" t="s">
        <v>56</v>
      </c>
      <c r="D15" s="106">
        <v>0.02</v>
      </c>
      <c r="E15" s="52">
        <f>F12+F13</f>
        <v>0</v>
      </c>
      <c r="F15" s="14">
        <f t="shared" si="0"/>
        <v>0</v>
      </c>
    </row>
    <row r="16" spans="1:10" x14ac:dyDescent="0.25">
      <c r="A16" s="10">
        <v>5</v>
      </c>
      <c r="B16" s="140" t="s">
        <v>53</v>
      </c>
      <c r="C16" s="141" t="s">
        <v>53</v>
      </c>
      <c r="D16" s="105">
        <f>D12</f>
        <v>0</v>
      </c>
      <c r="E16" s="57"/>
      <c r="F16" s="14">
        <f t="shared" si="0"/>
        <v>0</v>
      </c>
    </row>
    <row r="17" spans="1:6" x14ac:dyDescent="0.25">
      <c r="A17" s="10">
        <v>6</v>
      </c>
      <c r="B17" s="140" t="s">
        <v>72</v>
      </c>
      <c r="C17" s="141" t="s">
        <v>72</v>
      </c>
      <c r="D17" s="105">
        <f>D12</f>
        <v>0</v>
      </c>
      <c r="E17" s="57"/>
      <c r="F17" s="14">
        <f t="shared" si="0"/>
        <v>0</v>
      </c>
    </row>
    <row r="18" spans="1:6" x14ac:dyDescent="0.25">
      <c r="A18" s="10">
        <v>7</v>
      </c>
      <c r="B18" s="140" t="s">
        <v>71</v>
      </c>
      <c r="C18" s="141" t="s">
        <v>71</v>
      </c>
      <c r="D18" s="105">
        <v>0</v>
      </c>
      <c r="E18" s="57"/>
      <c r="F18" s="14">
        <f t="shared" si="0"/>
        <v>0</v>
      </c>
    </row>
    <row r="19" spans="1:6" x14ac:dyDescent="0.25">
      <c r="A19" s="10">
        <v>8</v>
      </c>
      <c r="B19" s="140" t="s">
        <v>25</v>
      </c>
      <c r="C19" s="141" t="s">
        <v>25</v>
      </c>
      <c r="D19" s="105">
        <f>D12</f>
        <v>0</v>
      </c>
      <c r="E19" s="57"/>
      <c r="F19" s="14">
        <f t="shared" si="0"/>
        <v>0</v>
      </c>
    </row>
    <row r="20" spans="1:6" x14ac:dyDescent="0.25">
      <c r="A20" s="10">
        <v>9</v>
      </c>
      <c r="B20" s="140" t="s">
        <v>60</v>
      </c>
      <c r="C20" s="141" t="s">
        <v>60</v>
      </c>
      <c r="D20" s="105">
        <f>D12</f>
        <v>0</v>
      </c>
      <c r="E20" s="57"/>
      <c r="F20" s="14">
        <f t="shared" si="0"/>
        <v>0</v>
      </c>
    </row>
    <row r="21" spans="1:6" x14ac:dyDescent="0.25">
      <c r="A21" s="10">
        <v>10</v>
      </c>
      <c r="B21" s="140" t="s">
        <v>59</v>
      </c>
      <c r="C21" s="141" t="s">
        <v>59</v>
      </c>
      <c r="D21" s="105">
        <f>D12</f>
        <v>0</v>
      </c>
      <c r="E21" s="57"/>
      <c r="F21" s="14">
        <f t="shared" si="0"/>
        <v>0</v>
      </c>
    </row>
    <row r="22" spans="1:6" x14ac:dyDescent="0.25">
      <c r="A22" s="10">
        <v>11</v>
      </c>
      <c r="B22" s="140" t="s">
        <v>65</v>
      </c>
      <c r="C22" s="141" t="s">
        <v>65</v>
      </c>
      <c r="D22" s="105">
        <f>D12</f>
        <v>0</v>
      </c>
      <c r="E22" s="57"/>
      <c r="F22" s="14">
        <f t="shared" si="0"/>
        <v>0</v>
      </c>
    </row>
    <row r="23" spans="1:6" x14ac:dyDescent="0.25">
      <c r="A23" s="10">
        <v>12</v>
      </c>
      <c r="B23" s="140" t="s">
        <v>66</v>
      </c>
      <c r="C23" s="141" t="s">
        <v>66</v>
      </c>
      <c r="D23" s="105">
        <f>D12</f>
        <v>0</v>
      </c>
      <c r="E23" s="57"/>
      <c r="F23" s="14">
        <f t="shared" si="0"/>
        <v>0</v>
      </c>
    </row>
    <row r="24" spans="1:6" x14ac:dyDescent="0.25">
      <c r="A24" s="10">
        <v>13</v>
      </c>
      <c r="B24" s="140" t="s">
        <v>73</v>
      </c>
      <c r="C24" s="141" t="s">
        <v>73</v>
      </c>
      <c r="D24" s="105">
        <f>D12</f>
        <v>0</v>
      </c>
      <c r="E24" s="57"/>
      <c r="F24" s="14">
        <f t="shared" si="0"/>
        <v>0</v>
      </c>
    </row>
    <row r="25" spans="1:6" x14ac:dyDescent="0.25">
      <c r="A25" s="10">
        <v>14</v>
      </c>
      <c r="B25" s="140" t="s">
        <v>67</v>
      </c>
      <c r="C25" s="141" t="s">
        <v>67</v>
      </c>
      <c r="D25" s="105">
        <f>D12</f>
        <v>0</v>
      </c>
      <c r="E25" s="57"/>
      <c r="F25" s="14">
        <f t="shared" si="0"/>
        <v>0</v>
      </c>
    </row>
    <row r="26" spans="1:6" x14ac:dyDescent="0.25">
      <c r="A26" s="10">
        <v>15</v>
      </c>
      <c r="B26" s="140" t="s">
        <v>57</v>
      </c>
      <c r="C26" s="141" t="s">
        <v>57</v>
      </c>
      <c r="D26" s="105">
        <f>D12</f>
        <v>0</v>
      </c>
      <c r="E26" s="57"/>
      <c r="F26" s="14">
        <f t="shared" si="0"/>
        <v>0</v>
      </c>
    </row>
    <row r="27" spans="1:6" x14ac:dyDescent="0.25">
      <c r="A27" s="10">
        <v>16</v>
      </c>
      <c r="B27" s="140" t="s">
        <v>58</v>
      </c>
      <c r="C27" s="141" t="s">
        <v>58</v>
      </c>
      <c r="D27" s="105">
        <f>D12</f>
        <v>0</v>
      </c>
      <c r="E27" s="57">
        <v>0</v>
      </c>
      <c r="F27" s="14">
        <f t="shared" si="0"/>
        <v>0</v>
      </c>
    </row>
    <row r="28" spans="1:6" x14ac:dyDescent="0.25">
      <c r="A28" s="10">
        <v>17</v>
      </c>
      <c r="B28" s="140" t="s">
        <v>61</v>
      </c>
      <c r="C28" s="141" t="s">
        <v>61</v>
      </c>
      <c r="D28" s="105">
        <f>D12</f>
        <v>0</v>
      </c>
      <c r="E28" s="57">
        <v>0</v>
      </c>
      <c r="F28" s="14">
        <f t="shared" si="0"/>
        <v>0</v>
      </c>
    </row>
    <row r="29" spans="1:6" x14ac:dyDescent="0.25">
      <c r="A29" s="10">
        <v>18</v>
      </c>
      <c r="B29" s="140" t="s">
        <v>62</v>
      </c>
      <c r="C29" s="141" t="s">
        <v>62</v>
      </c>
      <c r="D29" s="105">
        <f>D12</f>
        <v>0</v>
      </c>
      <c r="E29" s="57">
        <v>0</v>
      </c>
      <c r="F29" s="14">
        <f t="shared" si="0"/>
        <v>0</v>
      </c>
    </row>
    <row r="30" spans="1:6" x14ac:dyDescent="0.25">
      <c r="A30" s="10">
        <v>19</v>
      </c>
      <c r="B30" s="140" t="s">
        <v>63</v>
      </c>
      <c r="C30" s="141" t="s">
        <v>63</v>
      </c>
      <c r="D30" s="106">
        <v>0</v>
      </c>
      <c r="E30" s="60">
        <f>F12</f>
        <v>0</v>
      </c>
      <c r="F30" s="59">
        <f t="shared" si="0"/>
        <v>0</v>
      </c>
    </row>
    <row r="31" spans="1:6" x14ac:dyDescent="0.25">
      <c r="A31" s="10">
        <v>20</v>
      </c>
      <c r="B31" s="140" t="s">
        <v>70</v>
      </c>
      <c r="C31" s="141" t="s">
        <v>70</v>
      </c>
      <c r="D31" s="105">
        <v>0.01</v>
      </c>
      <c r="E31" s="61">
        <v>0</v>
      </c>
      <c r="F31" s="14">
        <f t="shared" si="0"/>
        <v>0</v>
      </c>
    </row>
    <row r="32" spans="1:6" ht="14.4" thickBot="1" x14ac:dyDescent="0.3">
      <c r="A32" s="15"/>
      <c r="D32" s="9"/>
      <c r="E32" s="13"/>
      <c r="F32" s="13"/>
    </row>
    <row r="33" spans="3:6" x14ac:dyDescent="0.25">
      <c r="C33" s="136" t="s">
        <v>89</v>
      </c>
      <c r="D33" s="137"/>
      <c r="E33" s="142">
        <f>SUM(F12:F31)</f>
        <v>0</v>
      </c>
      <c r="F33" s="143"/>
    </row>
    <row r="34" spans="3:6" ht="14.4" thickBot="1" x14ac:dyDescent="0.3">
      <c r="C34" s="138" t="s">
        <v>90</v>
      </c>
      <c r="D34" s="139"/>
      <c r="E34" s="134">
        <f>IF(E33&gt;0,E33/D12,0)</f>
        <v>0</v>
      </c>
      <c r="F34" s="135"/>
    </row>
    <row r="35" spans="3:6" x14ac:dyDescent="0.25">
      <c r="C35" s="7"/>
      <c r="D35" s="8"/>
      <c r="E35" s="6"/>
      <c r="F35" s="12"/>
    </row>
    <row r="36" spans="3:6" x14ac:dyDescent="0.25">
      <c r="C36" s="7"/>
      <c r="D36" s="8"/>
      <c r="E36" s="6"/>
      <c r="F36" s="6"/>
    </row>
    <row r="37" spans="3:6" x14ac:dyDescent="0.25">
      <c r="C37" s="7"/>
      <c r="D37" s="8"/>
      <c r="E37" s="6"/>
      <c r="F37" s="6"/>
    </row>
    <row r="38" spans="3:6" x14ac:dyDescent="0.25">
      <c r="C38" s="7"/>
      <c r="D38" s="8"/>
      <c r="E38" s="6"/>
      <c r="F38" s="6"/>
    </row>
    <row r="39" spans="3:6" x14ac:dyDescent="0.25">
      <c r="C39" s="7"/>
      <c r="D39" s="8"/>
      <c r="E39" s="6"/>
      <c r="F39" s="6"/>
    </row>
    <row r="40" spans="3:6" x14ac:dyDescent="0.25">
      <c r="C40" s="7"/>
      <c r="D40" s="8"/>
      <c r="E40" s="6"/>
      <c r="F40" s="6"/>
    </row>
    <row r="41" spans="3:6" x14ac:dyDescent="0.25">
      <c r="C41" s="7"/>
      <c r="D41" s="8"/>
      <c r="E41" s="6"/>
      <c r="F41" s="6"/>
    </row>
    <row r="42" spans="3:6" x14ac:dyDescent="0.25">
      <c r="C42" s="7"/>
      <c r="D42" s="8"/>
      <c r="E42" s="6"/>
      <c r="F42" s="6"/>
    </row>
    <row r="43" spans="3:6" x14ac:dyDescent="0.25">
      <c r="C43" s="7"/>
      <c r="D43" s="8"/>
      <c r="E43" s="6"/>
      <c r="F43" s="6"/>
    </row>
    <row r="44" spans="3:6" x14ac:dyDescent="0.25">
      <c r="C44" s="7"/>
      <c r="D44" s="8"/>
      <c r="E44" s="6"/>
      <c r="F44" s="6"/>
    </row>
    <row r="45" spans="3:6" x14ac:dyDescent="0.25">
      <c r="C45" s="7"/>
      <c r="D45" s="8"/>
      <c r="E45" s="6"/>
      <c r="F45" s="6"/>
    </row>
    <row r="46" spans="3:6" x14ac:dyDescent="0.25">
      <c r="C46" s="7"/>
      <c r="D46" s="8"/>
      <c r="E46" s="6"/>
      <c r="F46" s="6"/>
    </row>
    <row r="47" spans="3:6" x14ac:dyDescent="0.25">
      <c r="C47" s="7"/>
      <c r="D47" s="8"/>
      <c r="E47" s="6"/>
      <c r="F47" s="6"/>
    </row>
    <row r="48" spans="3:6" x14ac:dyDescent="0.25">
      <c r="C48" s="7"/>
      <c r="D48" s="8"/>
      <c r="E48" s="6"/>
      <c r="F48" s="6"/>
    </row>
    <row r="49" spans="3:6" x14ac:dyDescent="0.25">
      <c r="C49" s="7"/>
      <c r="D49" s="8"/>
      <c r="E49" s="6"/>
      <c r="F49" s="6"/>
    </row>
    <row r="50" spans="3:6" x14ac:dyDescent="0.25">
      <c r="C50" s="7"/>
      <c r="D50" s="8"/>
      <c r="E50" s="6"/>
      <c r="F50" s="6"/>
    </row>
    <row r="51" spans="3:6" x14ac:dyDescent="0.25">
      <c r="C51" s="7"/>
      <c r="D51" s="8"/>
      <c r="E51" s="6"/>
      <c r="F51" s="6"/>
    </row>
    <row r="52" spans="3:6" x14ac:dyDescent="0.25">
      <c r="C52" s="7"/>
      <c r="D52" s="8"/>
      <c r="E52" s="6"/>
      <c r="F52" s="6"/>
    </row>
    <row r="53" spans="3:6" x14ac:dyDescent="0.25">
      <c r="C53" s="7"/>
      <c r="D53" s="8"/>
      <c r="E53" s="6"/>
      <c r="F53" s="6"/>
    </row>
    <row r="54" spans="3:6" x14ac:dyDescent="0.25">
      <c r="C54" s="7"/>
      <c r="D54" s="8"/>
      <c r="E54" s="6"/>
      <c r="F54" s="6"/>
    </row>
    <row r="55" spans="3:6" x14ac:dyDescent="0.25">
      <c r="C55" s="7"/>
      <c r="D55" s="8"/>
      <c r="E55" s="6"/>
      <c r="F55" s="6"/>
    </row>
    <row r="56" spans="3:6" x14ac:dyDescent="0.25">
      <c r="C56" s="7"/>
      <c r="D56" s="8"/>
      <c r="E56" s="6"/>
      <c r="F56" s="6"/>
    </row>
    <row r="57" spans="3:6" x14ac:dyDescent="0.25">
      <c r="C57" s="7"/>
      <c r="D57" s="8"/>
      <c r="E57" s="6"/>
      <c r="F57" s="6"/>
    </row>
    <row r="58" spans="3:6" x14ac:dyDescent="0.25">
      <c r="C58" s="7"/>
      <c r="D58" s="8"/>
      <c r="E58" s="6"/>
      <c r="F58" s="6"/>
    </row>
    <row r="59" spans="3:6" x14ac:dyDescent="0.25">
      <c r="C59" s="7"/>
      <c r="D59" s="8"/>
      <c r="E59" s="6"/>
      <c r="F59" s="6"/>
    </row>
    <row r="60" spans="3:6" x14ac:dyDescent="0.25">
      <c r="C60" s="7"/>
      <c r="D60" s="8"/>
      <c r="E60" s="6"/>
      <c r="F60" s="6"/>
    </row>
    <row r="61" spans="3:6" x14ac:dyDescent="0.25">
      <c r="C61" s="7"/>
      <c r="D61" s="8"/>
      <c r="E61" s="6"/>
      <c r="F61" s="6"/>
    </row>
    <row r="62" spans="3:6" x14ac:dyDescent="0.25">
      <c r="C62" s="7"/>
      <c r="D62" s="8"/>
      <c r="E62" s="6"/>
      <c r="F62" s="6"/>
    </row>
    <row r="63" spans="3:6" x14ac:dyDescent="0.25">
      <c r="C63" s="7"/>
      <c r="D63" s="8"/>
      <c r="E63" s="6"/>
      <c r="F63" s="6"/>
    </row>
    <row r="64" spans="3:6" x14ac:dyDescent="0.25">
      <c r="C64" s="7"/>
      <c r="D64" s="8"/>
      <c r="E64" s="6"/>
      <c r="F64" s="6"/>
    </row>
    <row r="65" spans="3:6" x14ac:dyDescent="0.25">
      <c r="C65" s="7"/>
      <c r="D65" s="8"/>
      <c r="E65" s="6"/>
      <c r="F65" s="6"/>
    </row>
    <row r="66" spans="3:6" x14ac:dyDescent="0.25">
      <c r="C66" s="7"/>
      <c r="D66" s="6"/>
      <c r="E66" s="6"/>
      <c r="F66" s="6"/>
    </row>
    <row r="67" spans="3:6" x14ac:dyDescent="0.25">
      <c r="C67" s="7"/>
      <c r="D67" s="6"/>
      <c r="E67" s="6"/>
      <c r="F67" s="6"/>
    </row>
    <row r="68" spans="3:6" x14ac:dyDescent="0.25">
      <c r="C68" s="7"/>
      <c r="D68" s="6"/>
      <c r="E68" s="6"/>
      <c r="F68" s="6"/>
    </row>
    <row r="69" spans="3:6" x14ac:dyDescent="0.25">
      <c r="C69" s="7"/>
      <c r="D69" s="6"/>
      <c r="E69" s="6"/>
      <c r="F69" s="6"/>
    </row>
    <row r="70" spans="3:6" x14ac:dyDescent="0.25">
      <c r="C70" s="7"/>
      <c r="D70" s="6"/>
      <c r="E70" s="6"/>
      <c r="F70" s="6"/>
    </row>
    <row r="71" spans="3:6" x14ac:dyDescent="0.25">
      <c r="C71" s="7"/>
      <c r="D71" s="6"/>
      <c r="E71" s="6"/>
      <c r="F71" s="6"/>
    </row>
    <row r="72" spans="3:6" x14ac:dyDescent="0.25">
      <c r="C72" s="7"/>
      <c r="D72" s="6"/>
      <c r="E72" s="6"/>
      <c r="F72" s="6"/>
    </row>
    <row r="73" spans="3:6" x14ac:dyDescent="0.25">
      <c r="C73" s="7"/>
      <c r="D73" s="6"/>
      <c r="E73" s="6"/>
      <c r="F73" s="6"/>
    </row>
    <row r="74" spans="3:6" x14ac:dyDescent="0.25">
      <c r="C74" s="7"/>
      <c r="D74" s="6"/>
      <c r="E74" s="6"/>
      <c r="F74" s="6"/>
    </row>
    <row r="75" spans="3:6" x14ac:dyDescent="0.25">
      <c r="C75" s="7"/>
      <c r="D75" s="6"/>
      <c r="E75" s="6"/>
      <c r="F75" s="6"/>
    </row>
    <row r="76" spans="3:6" x14ac:dyDescent="0.25">
      <c r="C76" s="7"/>
      <c r="D76" s="6"/>
      <c r="E76" s="6"/>
      <c r="F76" s="6"/>
    </row>
    <row r="77" spans="3:6" x14ac:dyDescent="0.25">
      <c r="C77" s="7"/>
      <c r="D77" s="6"/>
      <c r="E77" s="6"/>
      <c r="F77" s="6"/>
    </row>
    <row r="78" spans="3:6" x14ac:dyDescent="0.25">
      <c r="C78" s="7"/>
      <c r="D78" s="6"/>
      <c r="E78" s="6"/>
      <c r="F78" s="6"/>
    </row>
    <row r="79" spans="3:6" x14ac:dyDescent="0.25">
      <c r="C79" s="7"/>
      <c r="D79" s="6"/>
      <c r="E79" s="6"/>
      <c r="F79" s="6"/>
    </row>
    <row r="80" spans="3:6" x14ac:dyDescent="0.25">
      <c r="C80" s="7"/>
      <c r="D80" s="6"/>
      <c r="E80" s="6"/>
      <c r="F80" s="6"/>
    </row>
    <row r="81" spans="3:6" x14ac:dyDescent="0.25">
      <c r="C81" s="7"/>
      <c r="D81" s="6"/>
      <c r="E81" s="6"/>
      <c r="F81" s="6"/>
    </row>
    <row r="82" spans="3:6" x14ac:dyDescent="0.25">
      <c r="C82" s="7"/>
      <c r="D82" s="6"/>
      <c r="E82" s="6"/>
      <c r="F82" s="6"/>
    </row>
    <row r="83" spans="3:6" x14ac:dyDescent="0.25">
      <c r="C83" s="7"/>
      <c r="D83" s="6"/>
      <c r="E83" s="6"/>
      <c r="F83" s="6"/>
    </row>
    <row r="84" spans="3:6" x14ac:dyDescent="0.25">
      <c r="C84" s="7"/>
      <c r="D84" s="6"/>
      <c r="E84" s="6"/>
      <c r="F84" s="6"/>
    </row>
    <row r="85" spans="3:6" x14ac:dyDescent="0.25">
      <c r="C85" s="7"/>
      <c r="D85" s="6"/>
      <c r="E85" s="6"/>
      <c r="F85" s="6"/>
    </row>
    <row r="86" spans="3:6" x14ac:dyDescent="0.25">
      <c r="C86" s="7"/>
      <c r="D86" s="6"/>
      <c r="E86" s="6"/>
      <c r="F86" s="6"/>
    </row>
    <row r="87" spans="3:6" x14ac:dyDescent="0.25">
      <c r="C87" s="7"/>
      <c r="D87" s="6"/>
      <c r="E87" s="6"/>
      <c r="F87" s="6"/>
    </row>
    <row r="88" spans="3:6" x14ac:dyDescent="0.25">
      <c r="C88" s="7"/>
      <c r="D88" s="6"/>
      <c r="E88" s="6"/>
      <c r="F88" s="6"/>
    </row>
    <row r="89" spans="3:6" x14ac:dyDescent="0.25">
      <c r="C89" s="7"/>
      <c r="D89" s="6"/>
      <c r="E89" s="6"/>
      <c r="F89" s="6"/>
    </row>
    <row r="90" spans="3:6" x14ac:dyDescent="0.25">
      <c r="C90" s="7"/>
      <c r="D90" s="6"/>
      <c r="E90" s="6"/>
      <c r="F90" s="6"/>
    </row>
    <row r="91" spans="3:6" x14ac:dyDescent="0.25">
      <c r="C91" s="7"/>
      <c r="D91" s="6"/>
      <c r="E91" s="6"/>
      <c r="F91" s="6"/>
    </row>
    <row r="92" spans="3:6" x14ac:dyDescent="0.25">
      <c r="C92" s="7"/>
      <c r="D92" s="6"/>
      <c r="E92" s="6"/>
      <c r="F92" s="6"/>
    </row>
    <row r="93" spans="3:6" x14ac:dyDescent="0.25">
      <c r="C93" s="7"/>
      <c r="D93" s="6"/>
      <c r="E93" s="6"/>
      <c r="F93" s="6"/>
    </row>
    <row r="94" spans="3:6" x14ac:dyDescent="0.25">
      <c r="C94" s="7"/>
      <c r="D94" s="6"/>
      <c r="E94" s="6"/>
      <c r="F94" s="6"/>
    </row>
    <row r="95" spans="3:6" x14ac:dyDescent="0.25">
      <c r="C95" s="7"/>
      <c r="D95" s="7"/>
      <c r="E95" s="7"/>
      <c r="F95" s="7"/>
    </row>
    <row r="96" spans="3:6" x14ac:dyDescent="0.25">
      <c r="C96" s="7"/>
      <c r="D96" s="7"/>
      <c r="E96" s="7"/>
      <c r="F96" s="7"/>
    </row>
    <row r="97" spans="3:6" x14ac:dyDescent="0.25">
      <c r="C97" s="7"/>
      <c r="D97" s="7"/>
      <c r="E97" s="7"/>
      <c r="F97" s="7"/>
    </row>
    <row r="98" spans="3:6" x14ac:dyDescent="0.25">
      <c r="C98" s="7"/>
      <c r="D98" s="7"/>
      <c r="E98" s="7"/>
      <c r="F98" s="7"/>
    </row>
    <row r="99" spans="3:6" x14ac:dyDescent="0.25">
      <c r="C99" s="7"/>
      <c r="D99" s="7"/>
      <c r="E99" s="7"/>
      <c r="F99" s="7"/>
    </row>
    <row r="100" spans="3:6" x14ac:dyDescent="0.25">
      <c r="C100" s="7"/>
      <c r="D100" s="7"/>
      <c r="E100" s="7"/>
      <c r="F100" s="7"/>
    </row>
    <row r="101" spans="3:6" x14ac:dyDescent="0.25">
      <c r="C101" s="7"/>
      <c r="D101" s="7"/>
      <c r="E101" s="7"/>
      <c r="F101" s="7"/>
    </row>
    <row r="102" spans="3:6" x14ac:dyDescent="0.25">
      <c r="C102" s="7"/>
      <c r="D102" s="7"/>
      <c r="E102" s="7"/>
      <c r="F102" s="7"/>
    </row>
    <row r="103" spans="3:6" x14ac:dyDescent="0.25">
      <c r="C103" s="7"/>
      <c r="D103" s="7"/>
      <c r="E103" s="7"/>
      <c r="F103" s="7"/>
    </row>
    <row r="104" spans="3:6" x14ac:dyDescent="0.25">
      <c r="C104" s="7"/>
      <c r="D104" s="7"/>
      <c r="E104" s="7"/>
      <c r="F104" s="7"/>
    </row>
    <row r="105" spans="3:6" x14ac:dyDescent="0.25">
      <c r="C105" s="7"/>
      <c r="D105" s="7"/>
      <c r="E105" s="7"/>
      <c r="F105" s="7"/>
    </row>
    <row r="106" spans="3:6" x14ac:dyDescent="0.25">
      <c r="C106" s="7"/>
      <c r="D106" s="7"/>
      <c r="E106" s="7"/>
      <c r="F106" s="7"/>
    </row>
    <row r="107" spans="3:6" x14ac:dyDescent="0.25">
      <c r="C107" s="7"/>
      <c r="D107" s="7"/>
      <c r="E107" s="7"/>
      <c r="F107" s="7"/>
    </row>
    <row r="108" spans="3:6" x14ac:dyDescent="0.25">
      <c r="C108" s="7"/>
      <c r="D108" s="7"/>
      <c r="E108" s="7"/>
      <c r="F108" s="7"/>
    </row>
    <row r="109" spans="3:6" x14ac:dyDescent="0.25">
      <c r="C109" s="7"/>
      <c r="D109" s="7"/>
      <c r="E109" s="7"/>
      <c r="F109" s="7"/>
    </row>
    <row r="110" spans="3:6" x14ac:dyDescent="0.25">
      <c r="C110" s="7"/>
      <c r="D110" s="7"/>
      <c r="E110" s="7"/>
      <c r="F110" s="7"/>
    </row>
    <row r="111" spans="3:6" x14ac:dyDescent="0.25">
      <c r="C111" s="7"/>
      <c r="D111" s="7"/>
      <c r="E111" s="7"/>
      <c r="F111" s="7"/>
    </row>
    <row r="112" spans="3:6" x14ac:dyDescent="0.25">
      <c r="C112" s="7"/>
      <c r="D112" s="7"/>
      <c r="E112" s="7"/>
      <c r="F112" s="7"/>
    </row>
    <row r="113" spans="3:6" x14ac:dyDescent="0.25">
      <c r="C113" s="7"/>
      <c r="D113" s="7"/>
      <c r="E113" s="7"/>
      <c r="F113" s="7"/>
    </row>
    <row r="114" spans="3:6" x14ac:dyDescent="0.25">
      <c r="C114" s="7"/>
      <c r="D114" s="7"/>
      <c r="E114" s="7"/>
      <c r="F114" s="7"/>
    </row>
    <row r="115" spans="3:6" x14ac:dyDescent="0.25">
      <c r="C115" s="7"/>
      <c r="D115" s="7"/>
      <c r="E115" s="7"/>
      <c r="F115" s="7"/>
    </row>
    <row r="116" spans="3:6" x14ac:dyDescent="0.25">
      <c r="C116" s="7"/>
      <c r="D116" s="7"/>
      <c r="E116" s="7"/>
      <c r="F116" s="7"/>
    </row>
    <row r="117" spans="3:6" x14ac:dyDescent="0.25">
      <c r="C117" s="7"/>
      <c r="D117" s="7"/>
      <c r="E117" s="7"/>
      <c r="F117" s="7"/>
    </row>
    <row r="118" spans="3:6" x14ac:dyDescent="0.25">
      <c r="C118" s="7"/>
      <c r="D118" s="7"/>
      <c r="E118" s="7"/>
      <c r="F118" s="7"/>
    </row>
    <row r="119" spans="3:6" x14ac:dyDescent="0.25">
      <c r="C119" s="7"/>
      <c r="D119" s="7"/>
      <c r="E119" s="7"/>
      <c r="F119" s="7"/>
    </row>
    <row r="120" spans="3:6" x14ac:dyDescent="0.25">
      <c r="C120" s="7"/>
      <c r="D120" s="7"/>
      <c r="E120" s="7"/>
      <c r="F120" s="7"/>
    </row>
    <row r="121" spans="3:6" x14ac:dyDescent="0.25">
      <c r="C121" s="7"/>
      <c r="D121" s="7"/>
      <c r="E121" s="7"/>
      <c r="F121" s="7"/>
    </row>
    <row r="122" spans="3:6" x14ac:dyDescent="0.25">
      <c r="C122" s="7"/>
      <c r="D122" s="7"/>
      <c r="E122" s="7"/>
      <c r="F122" s="7"/>
    </row>
    <row r="123" spans="3:6" x14ac:dyDescent="0.25">
      <c r="C123" s="7"/>
      <c r="D123" s="7"/>
      <c r="E123" s="7"/>
      <c r="F123" s="7"/>
    </row>
    <row r="124" spans="3:6" x14ac:dyDescent="0.25">
      <c r="C124" s="7"/>
      <c r="D124" s="7"/>
      <c r="E124" s="7"/>
      <c r="F124" s="7"/>
    </row>
    <row r="125" spans="3:6" x14ac:dyDescent="0.25">
      <c r="C125" s="7"/>
      <c r="D125" s="7"/>
      <c r="E125" s="7"/>
      <c r="F125" s="7"/>
    </row>
    <row r="126" spans="3:6" x14ac:dyDescent="0.25">
      <c r="C126" s="7"/>
      <c r="D126" s="7"/>
      <c r="E126" s="7"/>
      <c r="F126" s="7"/>
    </row>
    <row r="127" spans="3:6" x14ac:dyDescent="0.25">
      <c r="C127" s="7"/>
      <c r="D127" s="7"/>
      <c r="E127" s="7"/>
      <c r="F127" s="7"/>
    </row>
    <row r="128" spans="3:6" x14ac:dyDescent="0.25">
      <c r="C128" s="7"/>
      <c r="D128" s="7"/>
      <c r="E128" s="7"/>
      <c r="F128" s="7"/>
    </row>
    <row r="129" spans="3:6" x14ac:dyDescent="0.25">
      <c r="C129" s="7"/>
      <c r="D129" s="7"/>
      <c r="E129" s="7"/>
      <c r="F129" s="7"/>
    </row>
    <row r="130" spans="3:6" x14ac:dyDescent="0.25">
      <c r="C130" s="7"/>
      <c r="D130" s="7"/>
      <c r="E130" s="7"/>
      <c r="F130" s="7"/>
    </row>
    <row r="131" spans="3:6" x14ac:dyDescent="0.25">
      <c r="C131" s="7"/>
      <c r="D131" s="7"/>
      <c r="E131" s="7"/>
      <c r="F131" s="7"/>
    </row>
    <row r="132" spans="3:6" x14ac:dyDescent="0.25">
      <c r="C132" s="7"/>
      <c r="D132" s="7"/>
      <c r="E132" s="7"/>
      <c r="F132" s="7"/>
    </row>
    <row r="133" spans="3:6" x14ac:dyDescent="0.25">
      <c r="C133" s="7"/>
      <c r="D133" s="7"/>
      <c r="E133" s="7"/>
      <c r="F133" s="7"/>
    </row>
    <row r="134" spans="3:6" x14ac:dyDescent="0.25">
      <c r="C134" s="7"/>
      <c r="D134" s="7"/>
      <c r="E134" s="7"/>
      <c r="F134" s="7"/>
    </row>
    <row r="135" spans="3:6" x14ac:dyDescent="0.25">
      <c r="C135" s="7"/>
      <c r="D135" s="7"/>
      <c r="E135" s="7"/>
      <c r="F135" s="7"/>
    </row>
    <row r="136" spans="3:6" x14ac:dyDescent="0.25">
      <c r="C136" s="7"/>
      <c r="D136" s="7"/>
      <c r="E136" s="7"/>
      <c r="F136" s="7"/>
    </row>
    <row r="137" spans="3:6" x14ac:dyDescent="0.25">
      <c r="C137" s="7"/>
      <c r="D137" s="7"/>
      <c r="E137" s="7"/>
      <c r="F137" s="7"/>
    </row>
    <row r="138" spans="3:6" x14ac:dyDescent="0.25">
      <c r="C138" s="7"/>
      <c r="D138" s="7"/>
      <c r="E138" s="7"/>
      <c r="F138" s="7"/>
    </row>
    <row r="139" spans="3:6" x14ac:dyDescent="0.25">
      <c r="C139" s="7"/>
      <c r="D139" s="7"/>
      <c r="E139" s="7"/>
      <c r="F139" s="7"/>
    </row>
    <row r="140" spans="3:6" x14ac:dyDescent="0.25">
      <c r="C140" s="7"/>
      <c r="D140" s="7"/>
      <c r="E140" s="7"/>
      <c r="F140" s="7"/>
    </row>
    <row r="141" spans="3:6" x14ac:dyDescent="0.25">
      <c r="C141" s="7"/>
      <c r="D141" s="7"/>
      <c r="E141" s="7"/>
      <c r="F141" s="7"/>
    </row>
    <row r="142" spans="3:6" x14ac:dyDescent="0.25">
      <c r="C142" s="7"/>
      <c r="D142" s="7"/>
      <c r="E142" s="7"/>
      <c r="F142" s="7"/>
    </row>
    <row r="143" spans="3:6" x14ac:dyDescent="0.25">
      <c r="C143" s="7"/>
      <c r="D143" s="7"/>
      <c r="E143" s="7"/>
      <c r="F143" s="7"/>
    </row>
    <row r="144" spans="3:6" x14ac:dyDescent="0.25">
      <c r="C144" s="7"/>
      <c r="D144" s="7"/>
      <c r="E144" s="7"/>
      <c r="F144" s="7"/>
    </row>
    <row r="145" spans="3:6" x14ac:dyDescent="0.25">
      <c r="C145" s="7"/>
      <c r="D145" s="7"/>
      <c r="E145" s="7"/>
      <c r="F145" s="7"/>
    </row>
    <row r="146" spans="3:6" x14ac:dyDescent="0.25">
      <c r="C146" s="7"/>
      <c r="D146" s="7"/>
      <c r="E146" s="7"/>
      <c r="F146" s="7"/>
    </row>
    <row r="147" spans="3:6" x14ac:dyDescent="0.25">
      <c r="C147" s="7"/>
      <c r="D147" s="7"/>
      <c r="E147" s="7"/>
      <c r="F147" s="7"/>
    </row>
    <row r="148" spans="3:6" x14ac:dyDescent="0.25">
      <c r="C148" s="7"/>
      <c r="D148" s="7"/>
      <c r="E148" s="7"/>
      <c r="F148" s="7"/>
    </row>
    <row r="149" spans="3:6" x14ac:dyDescent="0.25">
      <c r="C149" s="7"/>
      <c r="D149" s="7"/>
      <c r="E149" s="7"/>
      <c r="F149" s="7"/>
    </row>
    <row r="150" spans="3:6" x14ac:dyDescent="0.25">
      <c r="C150" s="7"/>
      <c r="D150" s="7"/>
      <c r="E150" s="7"/>
      <c r="F150" s="7"/>
    </row>
    <row r="151" spans="3:6" x14ac:dyDescent="0.25">
      <c r="C151" s="7"/>
      <c r="D151" s="7"/>
      <c r="E151" s="7"/>
      <c r="F151" s="7"/>
    </row>
    <row r="152" spans="3:6" x14ac:dyDescent="0.25">
      <c r="C152" s="7"/>
      <c r="D152" s="7"/>
      <c r="E152" s="7"/>
      <c r="F152" s="7"/>
    </row>
    <row r="153" spans="3:6" x14ac:dyDescent="0.25">
      <c r="C153" s="7"/>
      <c r="D153" s="7"/>
      <c r="E153" s="7"/>
      <c r="F153" s="7"/>
    </row>
    <row r="154" spans="3:6" x14ac:dyDescent="0.25">
      <c r="C154" s="7"/>
      <c r="D154" s="7"/>
      <c r="E154" s="7"/>
      <c r="F154" s="7"/>
    </row>
    <row r="155" spans="3:6" x14ac:dyDescent="0.25">
      <c r="C155" s="7"/>
      <c r="D155" s="7"/>
      <c r="E155" s="7"/>
      <c r="F155" s="7"/>
    </row>
    <row r="156" spans="3:6" x14ac:dyDescent="0.25">
      <c r="C156" s="7"/>
      <c r="D156" s="7"/>
      <c r="E156" s="7"/>
      <c r="F156" s="7"/>
    </row>
    <row r="157" spans="3:6" x14ac:dyDescent="0.25">
      <c r="C157" s="7"/>
      <c r="D157" s="7"/>
      <c r="E157" s="7"/>
      <c r="F157" s="7"/>
    </row>
    <row r="158" spans="3:6" x14ac:dyDescent="0.25">
      <c r="C158" s="7"/>
      <c r="D158" s="7"/>
      <c r="E158" s="7"/>
      <c r="F158" s="7"/>
    </row>
    <row r="159" spans="3:6" x14ac:dyDescent="0.25">
      <c r="C159" s="7"/>
      <c r="D159" s="7"/>
      <c r="E159" s="7"/>
      <c r="F159" s="7"/>
    </row>
    <row r="160" spans="3:6" x14ac:dyDescent="0.25">
      <c r="C160" s="7"/>
      <c r="D160" s="7"/>
      <c r="E160" s="7"/>
      <c r="F160" s="7"/>
    </row>
    <row r="161" spans="3:6" x14ac:dyDescent="0.25">
      <c r="C161" s="7"/>
      <c r="D161" s="7"/>
      <c r="E161" s="7"/>
      <c r="F161" s="7"/>
    </row>
    <row r="162" spans="3:6" x14ac:dyDescent="0.25">
      <c r="C162" s="7"/>
      <c r="D162" s="7"/>
      <c r="E162" s="7"/>
      <c r="F162" s="7"/>
    </row>
    <row r="163" spans="3:6" x14ac:dyDescent="0.25">
      <c r="C163" s="7"/>
      <c r="D163" s="7"/>
      <c r="E163" s="7"/>
      <c r="F163" s="7"/>
    </row>
    <row r="164" spans="3:6" x14ac:dyDescent="0.25">
      <c r="C164" s="7"/>
      <c r="D164" s="7"/>
      <c r="E164" s="7"/>
      <c r="F164" s="7"/>
    </row>
    <row r="165" spans="3:6" x14ac:dyDescent="0.25">
      <c r="C165" s="7"/>
      <c r="D165" s="7"/>
      <c r="E165" s="7"/>
      <c r="F165" s="7"/>
    </row>
    <row r="166" spans="3:6" x14ac:dyDescent="0.25">
      <c r="C166" s="7"/>
      <c r="D166" s="7"/>
      <c r="E166" s="7"/>
      <c r="F166" s="7"/>
    </row>
    <row r="167" spans="3:6" x14ac:dyDescent="0.25">
      <c r="C167" s="7"/>
      <c r="D167" s="7"/>
      <c r="E167" s="7"/>
      <c r="F167" s="7"/>
    </row>
    <row r="168" spans="3:6" x14ac:dyDescent="0.25">
      <c r="C168" s="7"/>
      <c r="D168" s="7"/>
      <c r="E168" s="7"/>
      <c r="F168" s="7"/>
    </row>
    <row r="169" spans="3:6" x14ac:dyDescent="0.25">
      <c r="C169" s="7"/>
      <c r="D169" s="7"/>
      <c r="E169" s="7"/>
      <c r="F169" s="7"/>
    </row>
    <row r="170" spans="3:6" x14ac:dyDescent="0.25">
      <c r="C170" s="7"/>
      <c r="D170" s="7"/>
      <c r="E170" s="7"/>
      <c r="F170" s="7"/>
    </row>
    <row r="171" spans="3:6" x14ac:dyDescent="0.25">
      <c r="C171" s="7"/>
      <c r="D171" s="7"/>
      <c r="E171" s="7"/>
      <c r="F171" s="7"/>
    </row>
    <row r="172" spans="3:6" x14ac:dyDescent="0.25">
      <c r="C172" s="7"/>
      <c r="D172" s="7"/>
      <c r="E172" s="7"/>
      <c r="F172" s="7"/>
    </row>
    <row r="173" spans="3:6" x14ac:dyDescent="0.25">
      <c r="C173" s="7"/>
      <c r="D173" s="7"/>
      <c r="E173" s="7"/>
      <c r="F173" s="7"/>
    </row>
    <row r="174" spans="3:6" x14ac:dyDescent="0.25">
      <c r="C174" s="7"/>
      <c r="D174" s="7"/>
      <c r="E174" s="7"/>
      <c r="F174" s="7"/>
    </row>
    <row r="175" spans="3:6" x14ac:dyDescent="0.25">
      <c r="C175" s="7"/>
      <c r="D175" s="7"/>
      <c r="E175" s="7"/>
      <c r="F175" s="7"/>
    </row>
    <row r="176" spans="3:6" x14ac:dyDescent="0.25">
      <c r="C176" s="7"/>
      <c r="D176" s="7"/>
      <c r="E176" s="7"/>
      <c r="F176" s="7"/>
    </row>
    <row r="177" spans="3:6" x14ac:dyDescent="0.25">
      <c r="C177" s="7"/>
      <c r="D177" s="7"/>
      <c r="E177" s="7"/>
      <c r="F177" s="7"/>
    </row>
    <row r="178" spans="3:6" x14ac:dyDescent="0.25">
      <c r="C178" s="7"/>
      <c r="D178" s="7"/>
      <c r="E178" s="7"/>
      <c r="F178" s="7"/>
    </row>
    <row r="179" spans="3:6" x14ac:dyDescent="0.25">
      <c r="C179" s="7"/>
      <c r="D179" s="7"/>
      <c r="E179" s="7"/>
      <c r="F179" s="7"/>
    </row>
    <row r="180" spans="3:6" x14ac:dyDescent="0.25">
      <c r="C180" s="7"/>
      <c r="D180" s="7"/>
      <c r="E180" s="7"/>
      <c r="F180" s="7"/>
    </row>
    <row r="181" spans="3:6" x14ac:dyDescent="0.25">
      <c r="C181" s="7"/>
      <c r="D181" s="7"/>
      <c r="E181" s="7"/>
      <c r="F181" s="7"/>
    </row>
    <row r="182" spans="3:6" x14ac:dyDescent="0.25">
      <c r="C182" s="7"/>
      <c r="D182" s="7"/>
      <c r="E182" s="7"/>
      <c r="F182" s="7"/>
    </row>
    <row r="183" spans="3:6" x14ac:dyDescent="0.25">
      <c r="C183" s="7"/>
      <c r="D183" s="7"/>
      <c r="E183" s="7"/>
      <c r="F183" s="7"/>
    </row>
    <row r="184" spans="3:6" x14ac:dyDescent="0.25">
      <c r="C184" s="7"/>
      <c r="D184" s="7"/>
      <c r="E184" s="7"/>
      <c r="F184" s="7"/>
    </row>
    <row r="185" spans="3:6" x14ac:dyDescent="0.25">
      <c r="C185" s="7"/>
      <c r="D185" s="7"/>
      <c r="E185" s="7"/>
      <c r="F185" s="7"/>
    </row>
    <row r="186" spans="3:6" x14ac:dyDescent="0.25">
      <c r="C186" s="7"/>
      <c r="D186" s="7"/>
      <c r="E186" s="7"/>
      <c r="F186" s="7"/>
    </row>
    <row r="187" spans="3:6" x14ac:dyDescent="0.25">
      <c r="C187" s="7"/>
      <c r="D187" s="7"/>
      <c r="E187" s="7"/>
      <c r="F187" s="7"/>
    </row>
    <row r="188" spans="3:6" x14ac:dyDescent="0.25">
      <c r="C188" s="7"/>
      <c r="D188" s="7"/>
      <c r="E188" s="7"/>
      <c r="F188" s="7"/>
    </row>
    <row r="189" spans="3:6" x14ac:dyDescent="0.25">
      <c r="C189" s="7"/>
      <c r="D189" s="7"/>
      <c r="E189" s="7"/>
      <c r="F189" s="7"/>
    </row>
    <row r="190" spans="3:6" x14ac:dyDescent="0.25">
      <c r="C190" s="7"/>
      <c r="D190" s="7"/>
      <c r="E190" s="7"/>
      <c r="F190" s="7"/>
    </row>
    <row r="191" spans="3:6" x14ac:dyDescent="0.25">
      <c r="C191" s="7"/>
      <c r="D191" s="7"/>
      <c r="E191" s="7"/>
      <c r="F191" s="7"/>
    </row>
    <row r="192" spans="3:6" x14ac:dyDescent="0.25">
      <c r="C192" s="7"/>
      <c r="D192" s="7"/>
      <c r="E192" s="7"/>
      <c r="F192" s="7"/>
    </row>
    <row r="193" spans="3:6" x14ac:dyDescent="0.25">
      <c r="C193" s="7"/>
      <c r="D193" s="7"/>
      <c r="E193" s="7"/>
      <c r="F193" s="7"/>
    </row>
    <row r="194" spans="3:6" x14ac:dyDescent="0.25">
      <c r="C194" s="7"/>
      <c r="D194" s="7"/>
      <c r="E194" s="7"/>
      <c r="F194" s="7"/>
    </row>
    <row r="195" spans="3:6" x14ac:dyDescent="0.25">
      <c r="C195" s="7"/>
      <c r="D195" s="7"/>
      <c r="E195" s="7"/>
      <c r="F195" s="7"/>
    </row>
    <row r="196" spans="3:6" x14ac:dyDescent="0.25">
      <c r="C196" s="7"/>
      <c r="D196" s="7"/>
      <c r="E196" s="7"/>
      <c r="F196" s="7"/>
    </row>
    <row r="197" spans="3:6" x14ac:dyDescent="0.25">
      <c r="C197" s="7"/>
      <c r="D197" s="7"/>
      <c r="E197" s="7"/>
      <c r="F197" s="7"/>
    </row>
    <row r="198" spans="3:6" x14ac:dyDescent="0.25">
      <c r="C198" s="7"/>
      <c r="D198" s="7"/>
      <c r="E198" s="7"/>
      <c r="F198" s="7"/>
    </row>
    <row r="199" spans="3:6" x14ac:dyDescent="0.25">
      <c r="C199" s="7"/>
      <c r="D199" s="7"/>
      <c r="E199" s="7"/>
      <c r="F199" s="7"/>
    </row>
    <row r="200" spans="3:6" x14ac:dyDescent="0.25">
      <c r="C200" s="7"/>
      <c r="D200" s="7"/>
      <c r="E200" s="7"/>
      <c r="F200" s="7"/>
    </row>
    <row r="201" spans="3:6" x14ac:dyDescent="0.25">
      <c r="C201" s="7"/>
      <c r="D201" s="7"/>
      <c r="E201" s="7"/>
      <c r="F201" s="7"/>
    </row>
    <row r="202" spans="3:6" x14ac:dyDescent="0.25">
      <c r="C202" s="7"/>
      <c r="D202" s="7"/>
      <c r="E202" s="7"/>
      <c r="F202" s="7"/>
    </row>
    <row r="203" spans="3:6" x14ac:dyDescent="0.25">
      <c r="C203" s="7"/>
      <c r="D203" s="7"/>
      <c r="E203" s="7"/>
      <c r="F203" s="7"/>
    </row>
    <row r="204" spans="3:6" x14ac:dyDescent="0.25">
      <c r="C204" s="7"/>
      <c r="D204" s="7"/>
      <c r="E204" s="7"/>
      <c r="F204" s="7"/>
    </row>
    <row r="205" spans="3:6" x14ac:dyDescent="0.25">
      <c r="C205" s="7"/>
      <c r="D205" s="7"/>
      <c r="E205" s="7"/>
      <c r="F205" s="7"/>
    </row>
    <row r="206" spans="3:6" x14ac:dyDescent="0.25">
      <c r="C206" s="7"/>
      <c r="D206" s="7"/>
      <c r="E206" s="7"/>
      <c r="F206" s="7"/>
    </row>
    <row r="207" spans="3:6" x14ac:dyDescent="0.25">
      <c r="C207" s="7"/>
      <c r="D207" s="7"/>
      <c r="E207" s="7"/>
      <c r="F207" s="7"/>
    </row>
    <row r="208" spans="3:6" x14ac:dyDescent="0.25">
      <c r="C208" s="7"/>
      <c r="D208" s="7"/>
      <c r="E208" s="7"/>
      <c r="F208" s="7"/>
    </row>
    <row r="209" spans="3:6" x14ac:dyDescent="0.25">
      <c r="C209" s="7"/>
      <c r="D209" s="7"/>
      <c r="E209" s="7"/>
      <c r="F209" s="7"/>
    </row>
    <row r="210" spans="3:6" x14ac:dyDescent="0.25">
      <c r="C210" s="7"/>
      <c r="D210" s="7"/>
      <c r="E210" s="7"/>
      <c r="F210" s="7"/>
    </row>
    <row r="211" spans="3:6" x14ac:dyDescent="0.25">
      <c r="C211" s="7"/>
      <c r="D211" s="7"/>
      <c r="E211" s="7"/>
      <c r="F211" s="7"/>
    </row>
    <row r="212" spans="3:6" x14ac:dyDescent="0.25">
      <c r="C212" s="7"/>
      <c r="D212" s="7"/>
      <c r="E212" s="7"/>
      <c r="F212" s="7"/>
    </row>
    <row r="213" spans="3:6" x14ac:dyDescent="0.25">
      <c r="C213" s="7"/>
      <c r="D213" s="7"/>
      <c r="E213" s="7"/>
      <c r="F213" s="7"/>
    </row>
    <row r="214" spans="3:6" x14ac:dyDescent="0.25">
      <c r="C214" s="7"/>
      <c r="D214" s="7"/>
      <c r="E214" s="7"/>
      <c r="F214" s="7"/>
    </row>
    <row r="215" spans="3:6" x14ac:dyDescent="0.25">
      <c r="C215" s="7"/>
      <c r="D215" s="7"/>
      <c r="E215" s="7"/>
      <c r="F215" s="7"/>
    </row>
    <row r="216" spans="3:6" x14ac:dyDescent="0.25">
      <c r="C216" s="7"/>
      <c r="D216" s="7"/>
      <c r="E216" s="7"/>
      <c r="F216" s="7"/>
    </row>
    <row r="217" spans="3:6" x14ac:dyDescent="0.25">
      <c r="C217" s="7"/>
      <c r="D217" s="7"/>
      <c r="E217" s="7"/>
      <c r="F217" s="7"/>
    </row>
    <row r="218" spans="3:6" x14ac:dyDescent="0.25">
      <c r="C218" s="7"/>
      <c r="D218" s="7"/>
      <c r="E218" s="7"/>
      <c r="F218" s="7"/>
    </row>
    <row r="219" spans="3:6" x14ac:dyDescent="0.25">
      <c r="C219" s="7"/>
      <c r="D219" s="7"/>
      <c r="E219" s="7"/>
      <c r="F219" s="7"/>
    </row>
    <row r="220" spans="3:6" x14ac:dyDescent="0.25">
      <c r="C220" s="7"/>
      <c r="D220" s="7"/>
      <c r="E220" s="7"/>
      <c r="F220" s="7"/>
    </row>
    <row r="221" spans="3:6" x14ac:dyDescent="0.25">
      <c r="C221" s="7"/>
      <c r="D221" s="7"/>
      <c r="E221" s="7"/>
      <c r="F221" s="7"/>
    </row>
    <row r="222" spans="3:6" x14ac:dyDescent="0.25">
      <c r="C222" s="7"/>
      <c r="D222" s="7"/>
      <c r="E222" s="7"/>
      <c r="F222" s="7"/>
    </row>
    <row r="223" spans="3:6" x14ac:dyDescent="0.25">
      <c r="C223" s="7"/>
      <c r="D223" s="7"/>
      <c r="E223" s="7"/>
      <c r="F223" s="7"/>
    </row>
    <row r="224" spans="3:6" x14ac:dyDescent="0.25">
      <c r="C224" s="7"/>
      <c r="D224" s="7"/>
      <c r="E224" s="7"/>
      <c r="F224" s="7"/>
    </row>
    <row r="225" spans="3:6" x14ac:dyDescent="0.25">
      <c r="C225" s="7"/>
      <c r="D225" s="7"/>
      <c r="E225" s="7"/>
      <c r="F225" s="7"/>
    </row>
    <row r="226" spans="3:6" x14ac:dyDescent="0.25">
      <c r="C226" s="7"/>
      <c r="D226" s="7"/>
      <c r="E226" s="7"/>
      <c r="F226" s="7"/>
    </row>
    <row r="227" spans="3:6" x14ac:dyDescent="0.25">
      <c r="C227" s="7"/>
      <c r="D227" s="7"/>
      <c r="E227" s="7"/>
      <c r="F227" s="7"/>
    </row>
    <row r="228" spans="3:6" x14ac:dyDescent="0.25">
      <c r="C228" s="7"/>
      <c r="D228" s="7"/>
      <c r="E228" s="7"/>
      <c r="F228" s="7"/>
    </row>
    <row r="229" spans="3:6" x14ac:dyDescent="0.25">
      <c r="C229" s="7"/>
      <c r="D229" s="7"/>
      <c r="E229" s="7"/>
      <c r="F229" s="7"/>
    </row>
    <row r="230" spans="3:6" x14ac:dyDescent="0.25">
      <c r="C230" s="7"/>
      <c r="D230" s="7"/>
      <c r="E230" s="7"/>
      <c r="F230" s="7"/>
    </row>
    <row r="231" spans="3:6" x14ac:dyDescent="0.25">
      <c r="C231" s="7"/>
      <c r="D231" s="7"/>
      <c r="E231" s="7"/>
      <c r="F231" s="7"/>
    </row>
    <row r="232" spans="3:6" x14ac:dyDescent="0.25">
      <c r="C232" s="7"/>
      <c r="D232" s="7"/>
      <c r="E232" s="7"/>
      <c r="F232" s="7"/>
    </row>
    <row r="233" spans="3:6" x14ac:dyDescent="0.25">
      <c r="C233" s="7"/>
      <c r="D233" s="7"/>
      <c r="E233" s="7"/>
      <c r="F233" s="7"/>
    </row>
  </sheetData>
  <sheetProtection algorithmName="SHA-512" hashValue="suPVLfpA0uGsp2fm3qoNyeA76jfDEH+Ap+4gLPaVvaxF6mI6dwjmTcIPhuhetuHzjF4v+fzSJe0JRMa22feXxA==" saltValue="Zd1vLY5Ifo86H1UsnWE8Bg==" spinCount="100000" sheet="1" formatCells="0" formatColumns="0" formatRows="0" insertColumns="0" insertRows="0" insertHyperlinks="0" deleteColumns="0" deleteRows="0" sort="0" autoFilter="0" pivotTables="0"/>
  <mergeCells count="29">
    <mergeCell ref="B29:C29"/>
    <mergeCell ref="B30:C30"/>
    <mergeCell ref="B19:C19"/>
    <mergeCell ref="B20:C20"/>
    <mergeCell ref="B21:C21"/>
    <mergeCell ref="B22:C22"/>
    <mergeCell ref="B23:C23"/>
    <mergeCell ref="B24:C24"/>
    <mergeCell ref="A1:F1"/>
    <mergeCell ref="B25:C25"/>
    <mergeCell ref="B26:C26"/>
    <mergeCell ref="B27:C27"/>
    <mergeCell ref="B28:C28"/>
    <mergeCell ref="B13:C13"/>
    <mergeCell ref="B14:C14"/>
    <mergeCell ref="B15:C15"/>
    <mergeCell ref="B16:C16"/>
    <mergeCell ref="B17:C17"/>
    <mergeCell ref="B18:C18"/>
    <mergeCell ref="D6:E6"/>
    <mergeCell ref="D7:E7"/>
    <mergeCell ref="D8:E8"/>
    <mergeCell ref="B11:C11"/>
    <mergeCell ref="B12:C12"/>
    <mergeCell ref="B31:C31"/>
    <mergeCell ref="C33:D33"/>
    <mergeCell ref="E33:F33"/>
    <mergeCell ref="C34:D34"/>
    <mergeCell ref="E34:F3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CE973-7BDE-4288-B97E-C33DA58772B7}">
  <sheetPr codeName="Sheet8"/>
  <dimension ref="A1:J233"/>
  <sheetViews>
    <sheetView showGridLines="0" topLeftCell="A7" workbookViewId="0">
      <selection activeCell="E16" sqref="E16:E28"/>
    </sheetView>
  </sheetViews>
  <sheetFormatPr defaultRowHeight="13.8" x14ac:dyDescent="0.25"/>
  <cols>
    <col min="1" max="1" width="4.69921875" style="6" customWidth="1"/>
    <col min="2" max="2" width="20.69921875" style="6" customWidth="1"/>
    <col min="3" max="3" width="20.69921875" customWidth="1"/>
    <col min="4" max="4" width="7.69921875" customWidth="1"/>
    <col min="5" max="6" width="15.296875" customWidth="1"/>
    <col min="9" max="9" width="13.296875" customWidth="1"/>
  </cols>
  <sheetData>
    <row r="1" spans="1:10" ht="18" x14ac:dyDescent="0.25">
      <c r="A1" s="126" t="s">
        <v>79</v>
      </c>
      <c r="B1" s="127"/>
      <c r="C1" s="127"/>
      <c r="D1" s="127"/>
      <c r="E1" s="127"/>
      <c r="F1" s="128"/>
    </row>
    <row r="2" spans="1:10" x14ac:dyDescent="0.25">
      <c r="A2" s="15"/>
      <c r="B2" s="63" t="s">
        <v>45</v>
      </c>
      <c r="C2" s="16"/>
      <c r="D2" s="16"/>
      <c r="E2" s="62" t="s">
        <v>80</v>
      </c>
      <c r="F2" s="21"/>
    </row>
    <row r="3" spans="1:10" x14ac:dyDescent="0.25">
      <c r="A3" s="15"/>
      <c r="B3" s="63" t="s">
        <v>33</v>
      </c>
      <c r="C3" s="16"/>
      <c r="E3" s="62" t="s">
        <v>34</v>
      </c>
      <c r="F3" s="50"/>
    </row>
    <row r="4" spans="1:10" ht="15.6" x14ac:dyDescent="0.3">
      <c r="A4" s="15"/>
      <c r="B4" s="63" t="s">
        <v>35</v>
      </c>
      <c r="C4" s="16"/>
      <c r="D4" s="17"/>
      <c r="E4" s="62" t="s">
        <v>37</v>
      </c>
      <c r="F4" s="51"/>
    </row>
    <row r="5" spans="1:10" ht="15.6" x14ac:dyDescent="0.3">
      <c r="A5" s="15"/>
      <c r="B5" s="16"/>
      <c r="C5" s="16"/>
      <c r="D5" s="1"/>
      <c r="E5" s="17"/>
      <c r="F5" s="18"/>
    </row>
    <row r="6" spans="1:10" ht="15.6" x14ac:dyDescent="0.3">
      <c r="A6" s="15"/>
      <c r="B6" s="63" t="s">
        <v>55</v>
      </c>
      <c r="C6" s="16"/>
      <c r="D6" s="144"/>
      <c r="E6" s="144"/>
      <c r="F6" s="18"/>
    </row>
    <row r="7" spans="1:10" ht="15.6" x14ac:dyDescent="0.3">
      <c r="A7" s="15"/>
      <c r="B7" s="63" t="s">
        <v>50</v>
      </c>
      <c r="C7" s="16"/>
      <c r="D7" s="145"/>
      <c r="E7" s="145"/>
      <c r="F7" s="18"/>
    </row>
    <row r="8" spans="1:10" ht="15.6" x14ac:dyDescent="0.3">
      <c r="A8" s="15"/>
      <c r="B8" s="63" t="s">
        <v>69</v>
      </c>
      <c r="C8" s="16"/>
      <c r="D8" s="146" t="s">
        <v>74</v>
      </c>
      <c r="E8" s="146"/>
      <c r="F8" s="19"/>
    </row>
    <row r="9" spans="1:10" x14ac:dyDescent="0.25">
      <c r="A9" s="15"/>
      <c r="F9" s="20"/>
    </row>
    <row r="10" spans="1:10" x14ac:dyDescent="0.25">
      <c r="A10" s="15"/>
      <c r="F10" s="20"/>
    </row>
    <row r="11" spans="1:10" x14ac:dyDescent="0.25">
      <c r="A11" s="10" t="s">
        <v>64</v>
      </c>
      <c r="B11" s="147" t="s">
        <v>46</v>
      </c>
      <c r="C11" s="148"/>
      <c r="D11" s="11" t="s">
        <v>47</v>
      </c>
      <c r="E11" s="11" t="s">
        <v>49</v>
      </c>
      <c r="F11" s="11" t="s">
        <v>48</v>
      </c>
      <c r="I11" s="55" t="s">
        <v>88</v>
      </c>
      <c r="J11" s="53">
        <v>1</v>
      </c>
    </row>
    <row r="12" spans="1:10" x14ac:dyDescent="0.25">
      <c r="A12" s="10">
        <v>1</v>
      </c>
      <c r="B12" s="140" t="s">
        <v>51</v>
      </c>
      <c r="C12" s="141"/>
      <c r="D12" s="105">
        <v>0</v>
      </c>
      <c r="E12" s="57">
        <v>0</v>
      </c>
      <c r="F12" s="14">
        <f t="shared" ref="F12:F31" si="0">D12*E12</f>
        <v>0</v>
      </c>
      <c r="I12" s="56" t="s">
        <v>87</v>
      </c>
      <c r="J12" s="54">
        <v>1</v>
      </c>
    </row>
    <row r="13" spans="1:10" x14ac:dyDescent="0.25">
      <c r="A13" s="10">
        <v>2</v>
      </c>
      <c r="B13" s="140" t="s">
        <v>52</v>
      </c>
      <c r="C13" s="141" t="s">
        <v>52</v>
      </c>
      <c r="D13" s="106">
        <v>0.05</v>
      </c>
      <c r="E13" s="52">
        <f>D12*E12</f>
        <v>0</v>
      </c>
      <c r="F13" s="14">
        <f t="shared" si="0"/>
        <v>0</v>
      </c>
      <c r="I13" s="55" t="s">
        <v>86</v>
      </c>
      <c r="J13" s="28">
        <v>1</v>
      </c>
    </row>
    <row r="14" spans="1:10" x14ac:dyDescent="0.25">
      <c r="A14" s="10">
        <v>3</v>
      </c>
      <c r="B14" s="140" t="s">
        <v>54</v>
      </c>
      <c r="C14" s="141" t="s">
        <v>54</v>
      </c>
      <c r="D14" s="106">
        <v>0.05</v>
      </c>
      <c r="E14" s="52">
        <f>D12*E12</f>
        <v>0</v>
      </c>
      <c r="F14" s="14">
        <f>D14*E14</f>
        <v>0</v>
      </c>
    </row>
    <row r="15" spans="1:10" x14ac:dyDescent="0.25">
      <c r="A15" s="10">
        <v>4</v>
      </c>
      <c r="B15" s="140" t="s">
        <v>56</v>
      </c>
      <c r="C15" s="141" t="s">
        <v>56</v>
      </c>
      <c r="D15" s="106">
        <v>0.02</v>
      </c>
      <c r="E15" s="52">
        <f>F12+F13</f>
        <v>0</v>
      </c>
      <c r="F15" s="14">
        <f t="shared" si="0"/>
        <v>0</v>
      </c>
    </row>
    <row r="16" spans="1:10" x14ac:dyDescent="0.25">
      <c r="A16" s="10">
        <v>5</v>
      </c>
      <c r="B16" s="140" t="s">
        <v>53</v>
      </c>
      <c r="C16" s="141" t="s">
        <v>53</v>
      </c>
      <c r="D16" s="105">
        <f>D12</f>
        <v>0</v>
      </c>
      <c r="E16" s="57"/>
      <c r="F16" s="14">
        <f t="shared" si="0"/>
        <v>0</v>
      </c>
    </row>
    <row r="17" spans="1:6" x14ac:dyDescent="0.25">
      <c r="A17" s="10">
        <v>6</v>
      </c>
      <c r="B17" s="140" t="s">
        <v>72</v>
      </c>
      <c r="C17" s="141" t="s">
        <v>72</v>
      </c>
      <c r="D17" s="105">
        <f>D12</f>
        <v>0</v>
      </c>
      <c r="E17" s="57"/>
      <c r="F17" s="14">
        <f t="shared" si="0"/>
        <v>0</v>
      </c>
    </row>
    <row r="18" spans="1:6" x14ac:dyDescent="0.25">
      <c r="A18" s="10">
        <v>7</v>
      </c>
      <c r="B18" s="140" t="s">
        <v>71</v>
      </c>
      <c r="C18" s="141" t="s">
        <v>71</v>
      </c>
      <c r="D18" s="105">
        <v>0</v>
      </c>
      <c r="E18" s="57"/>
      <c r="F18" s="14">
        <f t="shared" si="0"/>
        <v>0</v>
      </c>
    </row>
    <row r="19" spans="1:6" x14ac:dyDescent="0.25">
      <c r="A19" s="10">
        <v>8</v>
      </c>
      <c r="B19" s="140" t="s">
        <v>25</v>
      </c>
      <c r="C19" s="141" t="s">
        <v>25</v>
      </c>
      <c r="D19" s="105">
        <f>D12</f>
        <v>0</v>
      </c>
      <c r="E19" s="57"/>
      <c r="F19" s="14">
        <f t="shared" si="0"/>
        <v>0</v>
      </c>
    </row>
    <row r="20" spans="1:6" x14ac:dyDescent="0.25">
      <c r="A20" s="10">
        <v>9</v>
      </c>
      <c r="B20" s="140" t="s">
        <v>60</v>
      </c>
      <c r="C20" s="141" t="s">
        <v>60</v>
      </c>
      <c r="D20" s="105">
        <f>D12</f>
        <v>0</v>
      </c>
      <c r="E20" s="57"/>
      <c r="F20" s="14">
        <f t="shared" si="0"/>
        <v>0</v>
      </c>
    </row>
    <row r="21" spans="1:6" x14ac:dyDescent="0.25">
      <c r="A21" s="10">
        <v>10</v>
      </c>
      <c r="B21" s="140" t="s">
        <v>59</v>
      </c>
      <c r="C21" s="141" t="s">
        <v>59</v>
      </c>
      <c r="D21" s="105">
        <f>D12</f>
        <v>0</v>
      </c>
      <c r="E21" s="57"/>
      <c r="F21" s="14">
        <f t="shared" si="0"/>
        <v>0</v>
      </c>
    </row>
    <row r="22" spans="1:6" x14ac:dyDescent="0.25">
      <c r="A22" s="10">
        <v>11</v>
      </c>
      <c r="B22" s="140" t="s">
        <v>65</v>
      </c>
      <c r="C22" s="141" t="s">
        <v>65</v>
      </c>
      <c r="D22" s="105">
        <f>D12</f>
        <v>0</v>
      </c>
      <c r="E22" s="57"/>
      <c r="F22" s="14">
        <f t="shared" si="0"/>
        <v>0</v>
      </c>
    </row>
    <row r="23" spans="1:6" x14ac:dyDescent="0.25">
      <c r="A23" s="10">
        <v>12</v>
      </c>
      <c r="B23" s="140" t="s">
        <v>66</v>
      </c>
      <c r="C23" s="141" t="s">
        <v>66</v>
      </c>
      <c r="D23" s="105">
        <f>D12</f>
        <v>0</v>
      </c>
      <c r="E23" s="57"/>
      <c r="F23" s="14">
        <f t="shared" si="0"/>
        <v>0</v>
      </c>
    </row>
    <row r="24" spans="1:6" x14ac:dyDescent="0.25">
      <c r="A24" s="10">
        <v>13</v>
      </c>
      <c r="B24" s="140" t="s">
        <v>73</v>
      </c>
      <c r="C24" s="141" t="s">
        <v>73</v>
      </c>
      <c r="D24" s="105">
        <f>D12</f>
        <v>0</v>
      </c>
      <c r="E24" s="57"/>
      <c r="F24" s="14">
        <f t="shared" si="0"/>
        <v>0</v>
      </c>
    </row>
    <row r="25" spans="1:6" x14ac:dyDescent="0.25">
      <c r="A25" s="10">
        <v>14</v>
      </c>
      <c r="B25" s="140" t="s">
        <v>67</v>
      </c>
      <c r="C25" s="141" t="s">
        <v>67</v>
      </c>
      <c r="D25" s="105">
        <f>D12</f>
        <v>0</v>
      </c>
      <c r="E25" s="57"/>
      <c r="F25" s="14">
        <f t="shared" si="0"/>
        <v>0</v>
      </c>
    </row>
    <row r="26" spans="1:6" x14ac:dyDescent="0.25">
      <c r="A26" s="10">
        <v>15</v>
      </c>
      <c r="B26" s="140" t="s">
        <v>57</v>
      </c>
      <c r="C26" s="141" t="s">
        <v>57</v>
      </c>
      <c r="D26" s="105">
        <f>D12</f>
        <v>0</v>
      </c>
      <c r="E26" s="57"/>
      <c r="F26" s="14">
        <f t="shared" si="0"/>
        <v>0</v>
      </c>
    </row>
    <row r="27" spans="1:6" x14ac:dyDescent="0.25">
      <c r="A27" s="10">
        <v>16</v>
      </c>
      <c r="B27" s="140" t="s">
        <v>58</v>
      </c>
      <c r="C27" s="141" t="s">
        <v>58</v>
      </c>
      <c r="D27" s="105">
        <f>D12</f>
        <v>0</v>
      </c>
      <c r="E27" s="57"/>
      <c r="F27" s="14">
        <f t="shared" si="0"/>
        <v>0</v>
      </c>
    </row>
    <row r="28" spans="1:6" x14ac:dyDescent="0.25">
      <c r="A28" s="10">
        <v>17</v>
      </c>
      <c r="B28" s="140" t="s">
        <v>61</v>
      </c>
      <c r="C28" s="141" t="s">
        <v>61</v>
      </c>
      <c r="D28" s="105">
        <f>D12</f>
        <v>0</v>
      </c>
      <c r="E28" s="57"/>
      <c r="F28" s="14">
        <f t="shared" si="0"/>
        <v>0</v>
      </c>
    </row>
    <row r="29" spans="1:6" x14ac:dyDescent="0.25">
      <c r="A29" s="10">
        <v>18</v>
      </c>
      <c r="B29" s="140" t="s">
        <v>62</v>
      </c>
      <c r="C29" s="141" t="s">
        <v>62</v>
      </c>
      <c r="D29" s="105">
        <f>D12</f>
        <v>0</v>
      </c>
      <c r="E29" s="57"/>
      <c r="F29" s="14">
        <f t="shared" si="0"/>
        <v>0</v>
      </c>
    </row>
    <row r="30" spans="1:6" x14ac:dyDescent="0.25">
      <c r="A30" s="10">
        <v>19</v>
      </c>
      <c r="B30" s="140" t="s">
        <v>63</v>
      </c>
      <c r="C30" s="141" t="s">
        <v>63</v>
      </c>
      <c r="D30" s="106">
        <v>0</v>
      </c>
      <c r="E30" s="60">
        <f>F12</f>
        <v>0</v>
      </c>
      <c r="F30" s="59">
        <f t="shared" si="0"/>
        <v>0</v>
      </c>
    </row>
    <row r="31" spans="1:6" x14ac:dyDescent="0.25">
      <c r="A31" s="10">
        <v>20</v>
      </c>
      <c r="B31" s="140" t="s">
        <v>70</v>
      </c>
      <c r="C31" s="141" t="s">
        <v>70</v>
      </c>
      <c r="D31" s="105">
        <v>0.01</v>
      </c>
      <c r="E31" s="61">
        <v>0</v>
      </c>
      <c r="F31" s="14">
        <f t="shared" si="0"/>
        <v>0</v>
      </c>
    </row>
    <row r="32" spans="1:6" ht="14.4" thickBot="1" x14ac:dyDescent="0.3">
      <c r="A32" s="15"/>
      <c r="D32" s="9"/>
      <c r="E32" s="13"/>
      <c r="F32" s="13"/>
    </row>
    <row r="33" spans="3:6" x14ac:dyDescent="0.25">
      <c r="C33" s="136" t="s">
        <v>89</v>
      </c>
      <c r="D33" s="137"/>
      <c r="E33" s="142">
        <f>SUM(F12:F31)</f>
        <v>0</v>
      </c>
      <c r="F33" s="143"/>
    </row>
    <row r="34" spans="3:6" ht="14.4" thickBot="1" x14ac:dyDescent="0.3">
      <c r="C34" s="138" t="s">
        <v>90</v>
      </c>
      <c r="D34" s="139"/>
      <c r="E34" s="134">
        <f>IF(E33&gt;0,E33/D12,0)</f>
        <v>0</v>
      </c>
      <c r="F34" s="135"/>
    </row>
    <row r="35" spans="3:6" x14ac:dyDescent="0.25">
      <c r="C35" s="7"/>
      <c r="D35" s="8"/>
      <c r="E35" s="6"/>
      <c r="F35" s="12"/>
    </row>
    <row r="36" spans="3:6" x14ac:dyDescent="0.25">
      <c r="C36" s="7"/>
      <c r="D36" s="8"/>
      <c r="E36" s="6"/>
      <c r="F36" s="6"/>
    </row>
    <row r="37" spans="3:6" x14ac:dyDescent="0.25">
      <c r="C37" s="7"/>
      <c r="D37" s="8"/>
      <c r="E37" s="6"/>
      <c r="F37" s="6"/>
    </row>
    <row r="38" spans="3:6" x14ac:dyDescent="0.25">
      <c r="C38" s="7"/>
      <c r="D38" s="8"/>
      <c r="E38" s="6"/>
      <c r="F38" s="6"/>
    </row>
    <row r="39" spans="3:6" x14ac:dyDescent="0.25">
      <c r="C39" s="7"/>
      <c r="D39" s="8"/>
      <c r="E39" s="6"/>
      <c r="F39" s="6"/>
    </row>
    <row r="40" spans="3:6" x14ac:dyDescent="0.25">
      <c r="C40" s="7"/>
      <c r="D40" s="8"/>
      <c r="E40" s="6"/>
      <c r="F40" s="6"/>
    </row>
    <row r="41" spans="3:6" x14ac:dyDescent="0.25">
      <c r="C41" s="7"/>
      <c r="D41" s="8"/>
      <c r="E41" s="6"/>
      <c r="F41" s="6"/>
    </row>
    <row r="42" spans="3:6" x14ac:dyDescent="0.25">
      <c r="C42" s="7"/>
      <c r="D42" s="8"/>
      <c r="E42" s="6"/>
      <c r="F42" s="6"/>
    </row>
    <row r="43" spans="3:6" x14ac:dyDescent="0.25">
      <c r="C43" s="7"/>
      <c r="D43" s="8"/>
      <c r="E43" s="6"/>
      <c r="F43" s="6"/>
    </row>
    <row r="44" spans="3:6" x14ac:dyDescent="0.25">
      <c r="C44" s="7"/>
      <c r="D44" s="8"/>
      <c r="E44" s="6"/>
      <c r="F44" s="6"/>
    </row>
    <row r="45" spans="3:6" x14ac:dyDescent="0.25">
      <c r="C45" s="7"/>
      <c r="D45" s="8"/>
      <c r="E45" s="6"/>
      <c r="F45" s="6"/>
    </row>
    <row r="46" spans="3:6" x14ac:dyDescent="0.25">
      <c r="C46" s="7"/>
      <c r="D46" s="8"/>
      <c r="E46" s="6"/>
      <c r="F46" s="6"/>
    </row>
    <row r="47" spans="3:6" x14ac:dyDescent="0.25">
      <c r="C47" s="7"/>
      <c r="D47" s="8"/>
      <c r="E47" s="6"/>
      <c r="F47" s="6"/>
    </row>
    <row r="48" spans="3:6" x14ac:dyDescent="0.25">
      <c r="C48" s="7"/>
      <c r="D48" s="8"/>
      <c r="E48" s="6"/>
      <c r="F48" s="6"/>
    </row>
    <row r="49" spans="3:6" x14ac:dyDescent="0.25">
      <c r="C49" s="7"/>
      <c r="D49" s="8"/>
      <c r="E49" s="6"/>
      <c r="F49" s="6"/>
    </row>
    <row r="50" spans="3:6" x14ac:dyDescent="0.25">
      <c r="C50" s="7"/>
      <c r="D50" s="8"/>
      <c r="E50" s="6"/>
      <c r="F50" s="6"/>
    </row>
    <row r="51" spans="3:6" x14ac:dyDescent="0.25">
      <c r="C51" s="7"/>
      <c r="D51" s="8"/>
      <c r="E51" s="6"/>
      <c r="F51" s="6"/>
    </row>
    <row r="52" spans="3:6" x14ac:dyDescent="0.25">
      <c r="C52" s="7"/>
      <c r="D52" s="8"/>
      <c r="E52" s="6"/>
      <c r="F52" s="6"/>
    </row>
    <row r="53" spans="3:6" x14ac:dyDescent="0.25">
      <c r="C53" s="7"/>
      <c r="D53" s="8"/>
      <c r="E53" s="6"/>
      <c r="F53" s="6"/>
    </row>
    <row r="54" spans="3:6" x14ac:dyDescent="0.25">
      <c r="C54" s="7"/>
      <c r="D54" s="8"/>
      <c r="E54" s="6"/>
      <c r="F54" s="6"/>
    </row>
    <row r="55" spans="3:6" x14ac:dyDescent="0.25">
      <c r="C55" s="7"/>
      <c r="D55" s="8"/>
      <c r="E55" s="6"/>
      <c r="F55" s="6"/>
    </row>
    <row r="56" spans="3:6" x14ac:dyDescent="0.25">
      <c r="C56" s="7"/>
      <c r="D56" s="8"/>
      <c r="E56" s="6"/>
      <c r="F56" s="6"/>
    </row>
    <row r="57" spans="3:6" x14ac:dyDescent="0.25">
      <c r="C57" s="7"/>
      <c r="D57" s="8"/>
      <c r="E57" s="6"/>
      <c r="F57" s="6"/>
    </row>
    <row r="58" spans="3:6" x14ac:dyDescent="0.25">
      <c r="C58" s="7"/>
      <c r="D58" s="8"/>
      <c r="E58" s="6"/>
      <c r="F58" s="6"/>
    </row>
    <row r="59" spans="3:6" x14ac:dyDescent="0.25">
      <c r="C59" s="7"/>
      <c r="D59" s="8"/>
      <c r="E59" s="6"/>
      <c r="F59" s="6"/>
    </row>
    <row r="60" spans="3:6" x14ac:dyDescent="0.25">
      <c r="C60" s="7"/>
      <c r="D60" s="8"/>
      <c r="E60" s="6"/>
      <c r="F60" s="6"/>
    </row>
    <row r="61" spans="3:6" x14ac:dyDescent="0.25">
      <c r="C61" s="7"/>
      <c r="D61" s="8"/>
      <c r="E61" s="6"/>
      <c r="F61" s="6"/>
    </row>
    <row r="62" spans="3:6" x14ac:dyDescent="0.25">
      <c r="C62" s="7"/>
      <c r="D62" s="8"/>
      <c r="E62" s="6"/>
      <c r="F62" s="6"/>
    </row>
    <row r="63" spans="3:6" x14ac:dyDescent="0.25">
      <c r="C63" s="7"/>
      <c r="D63" s="8"/>
      <c r="E63" s="6"/>
      <c r="F63" s="6"/>
    </row>
    <row r="64" spans="3:6" x14ac:dyDescent="0.25">
      <c r="C64" s="7"/>
      <c r="D64" s="8"/>
      <c r="E64" s="6"/>
      <c r="F64" s="6"/>
    </row>
    <row r="65" spans="3:6" x14ac:dyDescent="0.25">
      <c r="C65" s="7"/>
      <c r="D65" s="8"/>
      <c r="E65" s="6"/>
      <c r="F65" s="6"/>
    </row>
    <row r="66" spans="3:6" x14ac:dyDescent="0.25">
      <c r="C66" s="7"/>
      <c r="D66" s="6"/>
      <c r="E66" s="6"/>
      <c r="F66" s="6"/>
    </row>
    <row r="67" spans="3:6" x14ac:dyDescent="0.25">
      <c r="C67" s="7"/>
      <c r="D67" s="6"/>
      <c r="E67" s="6"/>
      <c r="F67" s="6"/>
    </row>
    <row r="68" spans="3:6" x14ac:dyDescent="0.25">
      <c r="C68" s="7"/>
      <c r="D68" s="6"/>
      <c r="E68" s="6"/>
      <c r="F68" s="6"/>
    </row>
    <row r="69" spans="3:6" x14ac:dyDescent="0.25">
      <c r="C69" s="7"/>
      <c r="D69" s="6"/>
      <c r="E69" s="6"/>
      <c r="F69" s="6"/>
    </row>
    <row r="70" spans="3:6" x14ac:dyDescent="0.25">
      <c r="C70" s="7"/>
      <c r="D70" s="6"/>
      <c r="E70" s="6"/>
      <c r="F70" s="6"/>
    </row>
    <row r="71" spans="3:6" x14ac:dyDescent="0.25">
      <c r="C71" s="7"/>
      <c r="D71" s="6"/>
      <c r="E71" s="6"/>
      <c r="F71" s="6"/>
    </row>
    <row r="72" spans="3:6" x14ac:dyDescent="0.25">
      <c r="C72" s="7"/>
      <c r="D72" s="6"/>
      <c r="E72" s="6"/>
      <c r="F72" s="6"/>
    </row>
    <row r="73" spans="3:6" x14ac:dyDescent="0.25">
      <c r="C73" s="7"/>
      <c r="D73" s="6"/>
      <c r="E73" s="6"/>
      <c r="F73" s="6"/>
    </row>
    <row r="74" spans="3:6" x14ac:dyDescent="0.25">
      <c r="C74" s="7"/>
      <c r="D74" s="6"/>
      <c r="E74" s="6"/>
      <c r="F74" s="6"/>
    </row>
    <row r="75" spans="3:6" x14ac:dyDescent="0.25">
      <c r="C75" s="7"/>
      <c r="D75" s="6"/>
      <c r="E75" s="6"/>
      <c r="F75" s="6"/>
    </row>
    <row r="76" spans="3:6" x14ac:dyDescent="0.25">
      <c r="C76" s="7"/>
      <c r="D76" s="6"/>
      <c r="E76" s="6"/>
      <c r="F76" s="6"/>
    </row>
    <row r="77" spans="3:6" x14ac:dyDescent="0.25">
      <c r="C77" s="7"/>
      <c r="D77" s="6"/>
      <c r="E77" s="6"/>
      <c r="F77" s="6"/>
    </row>
    <row r="78" spans="3:6" x14ac:dyDescent="0.25">
      <c r="C78" s="7"/>
      <c r="D78" s="6"/>
      <c r="E78" s="6"/>
      <c r="F78" s="6"/>
    </row>
    <row r="79" spans="3:6" x14ac:dyDescent="0.25">
      <c r="C79" s="7"/>
      <c r="D79" s="6"/>
      <c r="E79" s="6"/>
      <c r="F79" s="6"/>
    </row>
    <row r="80" spans="3:6" x14ac:dyDescent="0.25">
      <c r="C80" s="7"/>
      <c r="D80" s="6"/>
      <c r="E80" s="6"/>
      <c r="F80" s="6"/>
    </row>
    <row r="81" spans="3:6" x14ac:dyDescent="0.25">
      <c r="C81" s="7"/>
      <c r="D81" s="6"/>
      <c r="E81" s="6"/>
      <c r="F81" s="6"/>
    </row>
    <row r="82" spans="3:6" x14ac:dyDescent="0.25">
      <c r="C82" s="7"/>
      <c r="D82" s="6"/>
      <c r="E82" s="6"/>
      <c r="F82" s="6"/>
    </row>
    <row r="83" spans="3:6" x14ac:dyDescent="0.25">
      <c r="C83" s="7"/>
      <c r="D83" s="6"/>
      <c r="E83" s="6"/>
      <c r="F83" s="6"/>
    </row>
    <row r="84" spans="3:6" x14ac:dyDescent="0.25">
      <c r="C84" s="7"/>
      <c r="D84" s="6"/>
      <c r="E84" s="6"/>
      <c r="F84" s="6"/>
    </row>
    <row r="85" spans="3:6" x14ac:dyDescent="0.25">
      <c r="C85" s="7"/>
      <c r="D85" s="6"/>
      <c r="E85" s="6"/>
      <c r="F85" s="6"/>
    </row>
    <row r="86" spans="3:6" x14ac:dyDescent="0.25">
      <c r="C86" s="7"/>
      <c r="D86" s="6"/>
      <c r="E86" s="6"/>
      <c r="F86" s="6"/>
    </row>
    <row r="87" spans="3:6" x14ac:dyDescent="0.25">
      <c r="C87" s="7"/>
      <c r="D87" s="6"/>
      <c r="E87" s="6"/>
      <c r="F87" s="6"/>
    </row>
    <row r="88" spans="3:6" x14ac:dyDescent="0.25">
      <c r="C88" s="7"/>
      <c r="D88" s="6"/>
      <c r="E88" s="6"/>
      <c r="F88" s="6"/>
    </row>
    <row r="89" spans="3:6" x14ac:dyDescent="0.25">
      <c r="C89" s="7"/>
      <c r="D89" s="6"/>
      <c r="E89" s="6"/>
      <c r="F89" s="6"/>
    </row>
    <row r="90" spans="3:6" x14ac:dyDescent="0.25">
      <c r="C90" s="7"/>
      <c r="D90" s="6"/>
      <c r="E90" s="6"/>
      <c r="F90" s="6"/>
    </row>
    <row r="91" spans="3:6" x14ac:dyDescent="0.25">
      <c r="C91" s="7"/>
      <c r="D91" s="6"/>
      <c r="E91" s="6"/>
      <c r="F91" s="6"/>
    </row>
    <row r="92" spans="3:6" x14ac:dyDescent="0.25">
      <c r="C92" s="7"/>
      <c r="D92" s="6"/>
      <c r="E92" s="6"/>
      <c r="F92" s="6"/>
    </row>
    <row r="93" spans="3:6" x14ac:dyDescent="0.25">
      <c r="C93" s="7"/>
      <c r="D93" s="6"/>
      <c r="E93" s="6"/>
      <c r="F93" s="6"/>
    </row>
    <row r="94" spans="3:6" x14ac:dyDescent="0.25">
      <c r="C94" s="7"/>
      <c r="D94" s="6"/>
      <c r="E94" s="6"/>
      <c r="F94" s="6"/>
    </row>
    <row r="95" spans="3:6" x14ac:dyDescent="0.25">
      <c r="C95" s="7"/>
      <c r="D95" s="7"/>
      <c r="E95" s="7"/>
      <c r="F95" s="7"/>
    </row>
    <row r="96" spans="3:6" x14ac:dyDescent="0.25">
      <c r="C96" s="7"/>
      <c r="D96" s="7"/>
      <c r="E96" s="7"/>
      <c r="F96" s="7"/>
    </row>
    <row r="97" spans="3:6" x14ac:dyDescent="0.25">
      <c r="C97" s="7"/>
      <c r="D97" s="7"/>
      <c r="E97" s="7"/>
      <c r="F97" s="7"/>
    </row>
    <row r="98" spans="3:6" x14ac:dyDescent="0.25">
      <c r="C98" s="7"/>
      <c r="D98" s="7"/>
      <c r="E98" s="7"/>
      <c r="F98" s="7"/>
    </row>
    <row r="99" spans="3:6" x14ac:dyDescent="0.25">
      <c r="C99" s="7"/>
      <c r="D99" s="7"/>
      <c r="E99" s="7"/>
      <c r="F99" s="7"/>
    </row>
    <row r="100" spans="3:6" x14ac:dyDescent="0.25">
      <c r="C100" s="7"/>
      <c r="D100" s="7"/>
      <c r="E100" s="7"/>
      <c r="F100" s="7"/>
    </row>
    <row r="101" spans="3:6" x14ac:dyDescent="0.25">
      <c r="C101" s="7"/>
      <c r="D101" s="7"/>
      <c r="E101" s="7"/>
      <c r="F101" s="7"/>
    </row>
    <row r="102" spans="3:6" x14ac:dyDescent="0.25">
      <c r="C102" s="7"/>
      <c r="D102" s="7"/>
      <c r="E102" s="7"/>
      <c r="F102" s="7"/>
    </row>
    <row r="103" spans="3:6" x14ac:dyDescent="0.25">
      <c r="C103" s="7"/>
      <c r="D103" s="7"/>
      <c r="E103" s="7"/>
      <c r="F103" s="7"/>
    </row>
    <row r="104" spans="3:6" x14ac:dyDescent="0.25">
      <c r="C104" s="7"/>
      <c r="D104" s="7"/>
      <c r="E104" s="7"/>
      <c r="F104" s="7"/>
    </row>
    <row r="105" spans="3:6" x14ac:dyDescent="0.25">
      <c r="C105" s="7"/>
      <c r="D105" s="7"/>
      <c r="E105" s="7"/>
      <c r="F105" s="7"/>
    </row>
    <row r="106" spans="3:6" x14ac:dyDescent="0.25">
      <c r="C106" s="7"/>
      <c r="D106" s="7"/>
      <c r="E106" s="7"/>
      <c r="F106" s="7"/>
    </row>
    <row r="107" spans="3:6" x14ac:dyDescent="0.25">
      <c r="C107" s="7"/>
      <c r="D107" s="7"/>
      <c r="E107" s="7"/>
      <c r="F107" s="7"/>
    </row>
    <row r="108" spans="3:6" x14ac:dyDescent="0.25">
      <c r="C108" s="7"/>
      <c r="D108" s="7"/>
      <c r="E108" s="7"/>
      <c r="F108" s="7"/>
    </row>
    <row r="109" spans="3:6" x14ac:dyDescent="0.25">
      <c r="C109" s="7"/>
      <c r="D109" s="7"/>
      <c r="E109" s="7"/>
      <c r="F109" s="7"/>
    </row>
    <row r="110" spans="3:6" x14ac:dyDescent="0.25">
      <c r="C110" s="7"/>
      <c r="D110" s="7"/>
      <c r="E110" s="7"/>
      <c r="F110" s="7"/>
    </row>
    <row r="111" spans="3:6" x14ac:dyDescent="0.25">
      <c r="C111" s="7"/>
      <c r="D111" s="7"/>
      <c r="E111" s="7"/>
      <c r="F111" s="7"/>
    </row>
    <row r="112" spans="3:6" x14ac:dyDescent="0.25">
      <c r="C112" s="7"/>
      <c r="D112" s="7"/>
      <c r="E112" s="7"/>
      <c r="F112" s="7"/>
    </row>
    <row r="113" spans="3:6" x14ac:dyDescent="0.25">
      <c r="C113" s="7"/>
      <c r="D113" s="7"/>
      <c r="E113" s="7"/>
      <c r="F113" s="7"/>
    </row>
    <row r="114" spans="3:6" x14ac:dyDescent="0.25">
      <c r="C114" s="7"/>
      <c r="D114" s="7"/>
      <c r="E114" s="7"/>
      <c r="F114" s="7"/>
    </row>
    <row r="115" spans="3:6" x14ac:dyDescent="0.25">
      <c r="C115" s="7"/>
      <c r="D115" s="7"/>
      <c r="E115" s="7"/>
      <c r="F115" s="7"/>
    </row>
    <row r="116" spans="3:6" x14ac:dyDescent="0.25">
      <c r="C116" s="7"/>
      <c r="D116" s="7"/>
      <c r="E116" s="7"/>
      <c r="F116" s="7"/>
    </row>
    <row r="117" spans="3:6" x14ac:dyDescent="0.25">
      <c r="C117" s="7"/>
      <c r="D117" s="7"/>
      <c r="E117" s="7"/>
      <c r="F117" s="7"/>
    </row>
    <row r="118" spans="3:6" x14ac:dyDescent="0.25">
      <c r="C118" s="7"/>
      <c r="D118" s="7"/>
      <c r="E118" s="7"/>
      <c r="F118" s="7"/>
    </row>
    <row r="119" spans="3:6" x14ac:dyDescent="0.25">
      <c r="C119" s="7"/>
      <c r="D119" s="7"/>
      <c r="E119" s="7"/>
      <c r="F119" s="7"/>
    </row>
    <row r="120" spans="3:6" x14ac:dyDescent="0.25">
      <c r="C120" s="7"/>
      <c r="D120" s="7"/>
      <c r="E120" s="7"/>
      <c r="F120" s="7"/>
    </row>
    <row r="121" spans="3:6" x14ac:dyDescent="0.25">
      <c r="C121" s="7"/>
      <c r="D121" s="7"/>
      <c r="E121" s="7"/>
      <c r="F121" s="7"/>
    </row>
    <row r="122" spans="3:6" x14ac:dyDescent="0.25">
      <c r="C122" s="7"/>
      <c r="D122" s="7"/>
      <c r="E122" s="7"/>
      <c r="F122" s="7"/>
    </row>
    <row r="123" spans="3:6" x14ac:dyDescent="0.25">
      <c r="C123" s="7"/>
      <c r="D123" s="7"/>
      <c r="E123" s="7"/>
      <c r="F123" s="7"/>
    </row>
    <row r="124" spans="3:6" x14ac:dyDescent="0.25">
      <c r="C124" s="7"/>
      <c r="D124" s="7"/>
      <c r="E124" s="7"/>
      <c r="F124" s="7"/>
    </row>
    <row r="125" spans="3:6" x14ac:dyDescent="0.25">
      <c r="C125" s="7"/>
      <c r="D125" s="7"/>
      <c r="E125" s="7"/>
      <c r="F125" s="7"/>
    </row>
    <row r="126" spans="3:6" x14ac:dyDescent="0.25">
      <c r="C126" s="7"/>
      <c r="D126" s="7"/>
      <c r="E126" s="7"/>
      <c r="F126" s="7"/>
    </row>
    <row r="127" spans="3:6" x14ac:dyDescent="0.25">
      <c r="C127" s="7"/>
      <c r="D127" s="7"/>
      <c r="E127" s="7"/>
      <c r="F127" s="7"/>
    </row>
    <row r="128" spans="3:6" x14ac:dyDescent="0.25">
      <c r="C128" s="7"/>
      <c r="D128" s="7"/>
      <c r="E128" s="7"/>
      <c r="F128" s="7"/>
    </row>
    <row r="129" spans="3:6" x14ac:dyDescent="0.25">
      <c r="C129" s="7"/>
      <c r="D129" s="7"/>
      <c r="E129" s="7"/>
      <c r="F129" s="7"/>
    </row>
    <row r="130" spans="3:6" x14ac:dyDescent="0.25">
      <c r="C130" s="7"/>
      <c r="D130" s="7"/>
      <c r="E130" s="7"/>
      <c r="F130" s="7"/>
    </row>
    <row r="131" spans="3:6" x14ac:dyDescent="0.25">
      <c r="C131" s="7"/>
      <c r="D131" s="7"/>
      <c r="E131" s="7"/>
      <c r="F131" s="7"/>
    </row>
    <row r="132" spans="3:6" x14ac:dyDescent="0.25">
      <c r="C132" s="7"/>
      <c r="D132" s="7"/>
      <c r="E132" s="7"/>
      <c r="F132" s="7"/>
    </row>
    <row r="133" spans="3:6" x14ac:dyDescent="0.25">
      <c r="C133" s="7"/>
      <c r="D133" s="7"/>
      <c r="E133" s="7"/>
      <c r="F133" s="7"/>
    </row>
    <row r="134" spans="3:6" x14ac:dyDescent="0.25">
      <c r="C134" s="7"/>
      <c r="D134" s="7"/>
      <c r="E134" s="7"/>
      <c r="F134" s="7"/>
    </row>
    <row r="135" spans="3:6" x14ac:dyDescent="0.25">
      <c r="C135" s="7"/>
      <c r="D135" s="7"/>
      <c r="E135" s="7"/>
      <c r="F135" s="7"/>
    </row>
    <row r="136" spans="3:6" x14ac:dyDescent="0.25">
      <c r="C136" s="7"/>
      <c r="D136" s="7"/>
      <c r="E136" s="7"/>
      <c r="F136" s="7"/>
    </row>
    <row r="137" spans="3:6" x14ac:dyDescent="0.25">
      <c r="C137" s="7"/>
      <c r="D137" s="7"/>
      <c r="E137" s="7"/>
      <c r="F137" s="7"/>
    </row>
    <row r="138" spans="3:6" x14ac:dyDescent="0.25">
      <c r="C138" s="7"/>
      <c r="D138" s="7"/>
      <c r="E138" s="7"/>
      <c r="F138" s="7"/>
    </row>
    <row r="139" spans="3:6" x14ac:dyDescent="0.25">
      <c r="C139" s="7"/>
      <c r="D139" s="7"/>
      <c r="E139" s="7"/>
      <c r="F139" s="7"/>
    </row>
    <row r="140" spans="3:6" x14ac:dyDescent="0.25">
      <c r="C140" s="7"/>
      <c r="D140" s="7"/>
      <c r="E140" s="7"/>
      <c r="F140" s="7"/>
    </row>
    <row r="141" spans="3:6" x14ac:dyDescent="0.25">
      <c r="C141" s="7"/>
      <c r="D141" s="7"/>
      <c r="E141" s="7"/>
      <c r="F141" s="7"/>
    </row>
    <row r="142" spans="3:6" x14ac:dyDescent="0.25">
      <c r="C142" s="7"/>
      <c r="D142" s="7"/>
      <c r="E142" s="7"/>
      <c r="F142" s="7"/>
    </row>
    <row r="143" spans="3:6" x14ac:dyDescent="0.25">
      <c r="C143" s="7"/>
      <c r="D143" s="7"/>
      <c r="E143" s="7"/>
      <c r="F143" s="7"/>
    </row>
    <row r="144" spans="3:6" x14ac:dyDescent="0.25">
      <c r="C144" s="7"/>
      <c r="D144" s="7"/>
      <c r="E144" s="7"/>
      <c r="F144" s="7"/>
    </row>
    <row r="145" spans="3:6" x14ac:dyDescent="0.25">
      <c r="C145" s="7"/>
      <c r="D145" s="7"/>
      <c r="E145" s="7"/>
      <c r="F145" s="7"/>
    </row>
    <row r="146" spans="3:6" x14ac:dyDescent="0.25">
      <c r="C146" s="7"/>
      <c r="D146" s="7"/>
      <c r="E146" s="7"/>
      <c r="F146" s="7"/>
    </row>
    <row r="147" spans="3:6" x14ac:dyDescent="0.25">
      <c r="C147" s="7"/>
      <c r="D147" s="7"/>
      <c r="E147" s="7"/>
      <c r="F147" s="7"/>
    </row>
    <row r="148" spans="3:6" x14ac:dyDescent="0.25">
      <c r="C148" s="7"/>
      <c r="D148" s="7"/>
      <c r="E148" s="7"/>
      <c r="F148" s="7"/>
    </row>
    <row r="149" spans="3:6" x14ac:dyDescent="0.25">
      <c r="C149" s="7"/>
      <c r="D149" s="7"/>
      <c r="E149" s="7"/>
      <c r="F149" s="7"/>
    </row>
    <row r="150" spans="3:6" x14ac:dyDescent="0.25">
      <c r="C150" s="7"/>
      <c r="D150" s="7"/>
      <c r="E150" s="7"/>
      <c r="F150" s="7"/>
    </row>
    <row r="151" spans="3:6" x14ac:dyDescent="0.25">
      <c r="C151" s="7"/>
      <c r="D151" s="7"/>
      <c r="E151" s="7"/>
      <c r="F151" s="7"/>
    </row>
    <row r="152" spans="3:6" x14ac:dyDescent="0.25">
      <c r="C152" s="7"/>
      <c r="D152" s="7"/>
      <c r="E152" s="7"/>
      <c r="F152" s="7"/>
    </row>
    <row r="153" spans="3:6" x14ac:dyDescent="0.25">
      <c r="C153" s="7"/>
      <c r="D153" s="7"/>
      <c r="E153" s="7"/>
      <c r="F153" s="7"/>
    </row>
    <row r="154" spans="3:6" x14ac:dyDescent="0.25">
      <c r="C154" s="7"/>
      <c r="D154" s="7"/>
      <c r="E154" s="7"/>
      <c r="F154" s="7"/>
    </row>
    <row r="155" spans="3:6" x14ac:dyDescent="0.25">
      <c r="C155" s="7"/>
      <c r="D155" s="7"/>
      <c r="E155" s="7"/>
      <c r="F155" s="7"/>
    </row>
    <row r="156" spans="3:6" x14ac:dyDescent="0.25">
      <c r="C156" s="7"/>
      <c r="D156" s="7"/>
      <c r="E156" s="7"/>
      <c r="F156" s="7"/>
    </row>
    <row r="157" spans="3:6" x14ac:dyDescent="0.25">
      <c r="C157" s="7"/>
      <c r="D157" s="7"/>
      <c r="E157" s="7"/>
      <c r="F157" s="7"/>
    </row>
    <row r="158" spans="3:6" x14ac:dyDescent="0.25">
      <c r="C158" s="7"/>
      <c r="D158" s="7"/>
      <c r="E158" s="7"/>
      <c r="F158" s="7"/>
    </row>
    <row r="159" spans="3:6" x14ac:dyDescent="0.25">
      <c r="C159" s="7"/>
      <c r="D159" s="7"/>
      <c r="E159" s="7"/>
      <c r="F159" s="7"/>
    </row>
    <row r="160" spans="3:6" x14ac:dyDescent="0.25">
      <c r="C160" s="7"/>
      <c r="D160" s="7"/>
      <c r="E160" s="7"/>
      <c r="F160" s="7"/>
    </row>
    <row r="161" spans="3:6" x14ac:dyDescent="0.25">
      <c r="C161" s="7"/>
      <c r="D161" s="7"/>
      <c r="E161" s="7"/>
      <c r="F161" s="7"/>
    </row>
    <row r="162" spans="3:6" x14ac:dyDescent="0.25">
      <c r="C162" s="7"/>
      <c r="D162" s="7"/>
      <c r="E162" s="7"/>
      <c r="F162" s="7"/>
    </row>
    <row r="163" spans="3:6" x14ac:dyDescent="0.25">
      <c r="C163" s="7"/>
      <c r="D163" s="7"/>
      <c r="E163" s="7"/>
      <c r="F163" s="7"/>
    </row>
    <row r="164" spans="3:6" x14ac:dyDescent="0.25">
      <c r="C164" s="7"/>
      <c r="D164" s="7"/>
      <c r="E164" s="7"/>
      <c r="F164" s="7"/>
    </row>
    <row r="165" spans="3:6" x14ac:dyDescent="0.25">
      <c r="C165" s="7"/>
      <c r="D165" s="7"/>
      <c r="E165" s="7"/>
      <c r="F165" s="7"/>
    </row>
    <row r="166" spans="3:6" x14ac:dyDescent="0.25">
      <c r="C166" s="7"/>
      <c r="D166" s="7"/>
      <c r="E166" s="7"/>
      <c r="F166" s="7"/>
    </row>
    <row r="167" spans="3:6" x14ac:dyDescent="0.25">
      <c r="C167" s="7"/>
      <c r="D167" s="7"/>
      <c r="E167" s="7"/>
      <c r="F167" s="7"/>
    </row>
    <row r="168" spans="3:6" x14ac:dyDescent="0.25">
      <c r="C168" s="7"/>
      <c r="D168" s="7"/>
      <c r="E168" s="7"/>
      <c r="F168" s="7"/>
    </row>
    <row r="169" spans="3:6" x14ac:dyDescent="0.25">
      <c r="C169" s="7"/>
      <c r="D169" s="7"/>
      <c r="E169" s="7"/>
      <c r="F169" s="7"/>
    </row>
    <row r="170" spans="3:6" x14ac:dyDescent="0.25">
      <c r="C170" s="7"/>
      <c r="D170" s="7"/>
      <c r="E170" s="7"/>
      <c r="F170" s="7"/>
    </row>
    <row r="171" spans="3:6" x14ac:dyDescent="0.25">
      <c r="C171" s="7"/>
      <c r="D171" s="7"/>
      <c r="E171" s="7"/>
      <c r="F171" s="7"/>
    </row>
    <row r="172" spans="3:6" x14ac:dyDescent="0.25">
      <c r="C172" s="7"/>
      <c r="D172" s="7"/>
      <c r="E172" s="7"/>
      <c r="F172" s="7"/>
    </row>
    <row r="173" spans="3:6" x14ac:dyDescent="0.25">
      <c r="C173" s="7"/>
      <c r="D173" s="7"/>
      <c r="E173" s="7"/>
      <c r="F173" s="7"/>
    </row>
    <row r="174" spans="3:6" x14ac:dyDescent="0.25">
      <c r="C174" s="7"/>
      <c r="D174" s="7"/>
      <c r="E174" s="7"/>
      <c r="F174" s="7"/>
    </row>
    <row r="175" spans="3:6" x14ac:dyDescent="0.25">
      <c r="C175" s="7"/>
      <c r="D175" s="7"/>
      <c r="E175" s="7"/>
      <c r="F175" s="7"/>
    </row>
    <row r="176" spans="3:6" x14ac:dyDescent="0.25">
      <c r="C176" s="7"/>
      <c r="D176" s="7"/>
      <c r="E176" s="7"/>
      <c r="F176" s="7"/>
    </row>
    <row r="177" spans="3:6" x14ac:dyDescent="0.25">
      <c r="C177" s="7"/>
      <c r="D177" s="7"/>
      <c r="E177" s="7"/>
      <c r="F177" s="7"/>
    </row>
    <row r="178" spans="3:6" x14ac:dyDescent="0.25">
      <c r="C178" s="7"/>
      <c r="D178" s="7"/>
      <c r="E178" s="7"/>
      <c r="F178" s="7"/>
    </row>
    <row r="179" spans="3:6" x14ac:dyDescent="0.25">
      <c r="C179" s="7"/>
      <c r="D179" s="7"/>
      <c r="E179" s="7"/>
      <c r="F179" s="7"/>
    </row>
    <row r="180" spans="3:6" x14ac:dyDescent="0.25">
      <c r="C180" s="7"/>
      <c r="D180" s="7"/>
      <c r="E180" s="7"/>
      <c r="F180" s="7"/>
    </row>
    <row r="181" spans="3:6" x14ac:dyDescent="0.25">
      <c r="C181" s="7"/>
      <c r="D181" s="7"/>
      <c r="E181" s="7"/>
      <c r="F181" s="7"/>
    </row>
    <row r="182" spans="3:6" x14ac:dyDescent="0.25">
      <c r="C182" s="7"/>
      <c r="D182" s="7"/>
      <c r="E182" s="7"/>
      <c r="F182" s="7"/>
    </row>
    <row r="183" spans="3:6" x14ac:dyDescent="0.25">
      <c r="C183" s="7"/>
      <c r="D183" s="7"/>
      <c r="E183" s="7"/>
      <c r="F183" s="7"/>
    </row>
    <row r="184" spans="3:6" x14ac:dyDescent="0.25">
      <c r="C184" s="7"/>
      <c r="D184" s="7"/>
      <c r="E184" s="7"/>
      <c r="F184" s="7"/>
    </row>
    <row r="185" spans="3:6" x14ac:dyDescent="0.25">
      <c r="C185" s="7"/>
      <c r="D185" s="7"/>
      <c r="E185" s="7"/>
      <c r="F185" s="7"/>
    </row>
    <row r="186" spans="3:6" x14ac:dyDescent="0.25">
      <c r="C186" s="7"/>
      <c r="D186" s="7"/>
      <c r="E186" s="7"/>
      <c r="F186" s="7"/>
    </row>
    <row r="187" spans="3:6" x14ac:dyDescent="0.25">
      <c r="C187" s="7"/>
      <c r="D187" s="7"/>
      <c r="E187" s="7"/>
      <c r="F187" s="7"/>
    </row>
    <row r="188" spans="3:6" x14ac:dyDescent="0.25">
      <c r="C188" s="7"/>
      <c r="D188" s="7"/>
      <c r="E188" s="7"/>
      <c r="F188" s="7"/>
    </row>
    <row r="189" spans="3:6" x14ac:dyDescent="0.25">
      <c r="C189" s="7"/>
      <c r="D189" s="7"/>
      <c r="E189" s="7"/>
      <c r="F189" s="7"/>
    </row>
    <row r="190" spans="3:6" x14ac:dyDescent="0.25">
      <c r="C190" s="7"/>
      <c r="D190" s="7"/>
      <c r="E190" s="7"/>
      <c r="F190" s="7"/>
    </row>
    <row r="191" spans="3:6" x14ac:dyDescent="0.25">
      <c r="C191" s="7"/>
      <c r="D191" s="7"/>
      <c r="E191" s="7"/>
      <c r="F191" s="7"/>
    </row>
    <row r="192" spans="3:6" x14ac:dyDescent="0.25">
      <c r="C192" s="7"/>
      <c r="D192" s="7"/>
      <c r="E192" s="7"/>
      <c r="F192" s="7"/>
    </row>
    <row r="193" spans="3:6" x14ac:dyDescent="0.25">
      <c r="C193" s="7"/>
      <c r="D193" s="7"/>
      <c r="E193" s="7"/>
      <c r="F193" s="7"/>
    </row>
    <row r="194" spans="3:6" x14ac:dyDescent="0.25">
      <c r="C194" s="7"/>
      <c r="D194" s="7"/>
      <c r="E194" s="7"/>
      <c r="F194" s="7"/>
    </row>
    <row r="195" spans="3:6" x14ac:dyDescent="0.25">
      <c r="C195" s="7"/>
      <c r="D195" s="7"/>
      <c r="E195" s="7"/>
      <c r="F195" s="7"/>
    </row>
    <row r="196" spans="3:6" x14ac:dyDescent="0.25">
      <c r="C196" s="7"/>
      <c r="D196" s="7"/>
      <c r="E196" s="7"/>
      <c r="F196" s="7"/>
    </row>
    <row r="197" spans="3:6" x14ac:dyDescent="0.25">
      <c r="C197" s="7"/>
      <c r="D197" s="7"/>
      <c r="E197" s="7"/>
      <c r="F197" s="7"/>
    </row>
    <row r="198" spans="3:6" x14ac:dyDescent="0.25">
      <c r="C198" s="7"/>
      <c r="D198" s="7"/>
      <c r="E198" s="7"/>
      <c r="F198" s="7"/>
    </row>
    <row r="199" spans="3:6" x14ac:dyDescent="0.25">
      <c r="C199" s="7"/>
      <c r="D199" s="7"/>
      <c r="E199" s="7"/>
      <c r="F199" s="7"/>
    </row>
    <row r="200" spans="3:6" x14ac:dyDescent="0.25">
      <c r="C200" s="7"/>
      <c r="D200" s="7"/>
      <c r="E200" s="7"/>
      <c r="F200" s="7"/>
    </row>
    <row r="201" spans="3:6" x14ac:dyDescent="0.25">
      <c r="C201" s="7"/>
      <c r="D201" s="7"/>
      <c r="E201" s="7"/>
      <c r="F201" s="7"/>
    </row>
    <row r="202" spans="3:6" x14ac:dyDescent="0.25">
      <c r="C202" s="7"/>
      <c r="D202" s="7"/>
      <c r="E202" s="7"/>
      <c r="F202" s="7"/>
    </row>
    <row r="203" spans="3:6" x14ac:dyDescent="0.25">
      <c r="C203" s="7"/>
      <c r="D203" s="7"/>
      <c r="E203" s="7"/>
      <c r="F203" s="7"/>
    </row>
    <row r="204" spans="3:6" x14ac:dyDescent="0.25">
      <c r="C204" s="7"/>
      <c r="D204" s="7"/>
      <c r="E204" s="7"/>
      <c r="F204" s="7"/>
    </row>
    <row r="205" spans="3:6" x14ac:dyDescent="0.25">
      <c r="C205" s="7"/>
      <c r="D205" s="7"/>
      <c r="E205" s="7"/>
      <c r="F205" s="7"/>
    </row>
    <row r="206" spans="3:6" x14ac:dyDescent="0.25">
      <c r="C206" s="7"/>
      <c r="D206" s="7"/>
      <c r="E206" s="7"/>
      <c r="F206" s="7"/>
    </row>
    <row r="207" spans="3:6" x14ac:dyDescent="0.25">
      <c r="C207" s="7"/>
      <c r="D207" s="7"/>
      <c r="E207" s="7"/>
      <c r="F207" s="7"/>
    </row>
    <row r="208" spans="3:6" x14ac:dyDescent="0.25">
      <c r="C208" s="7"/>
      <c r="D208" s="7"/>
      <c r="E208" s="7"/>
      <c r="F208" s="7"/>
    </row>
    <row r="209" spans="3:6" x14ac:dyDescent="0.25">
      <c r="C209" s="7"/>
      <c r="D209" s="7"/>
      <c r="E209" s="7"/>
      <c r="F209" s="7"/>
    </row>
    <row r="210" spans="3:6" x14ac:dyDescent="0.25">
      <c r="C210" s="7"/>
      <c r="D210" s="7"/>
      <c r="E210" s="7"/>
      <c r="F210" s="7"/>
    </row>
    <row r="211" spans="3:6" x14ac:dyDescent="0.25">
      <c r="C211" s="7"/>
      <c r="D211" s="7"/>
      <c r="E211" s="7"/>
      <c r="F211" s="7"/>
    </row>
    <row r="212" spans="3:6" x14ac:dyDescent="0.25">
      <c r="C212" s="7"/>
      <c r="D212" s="7"/>
      <c r="E212" s="7"/>
      <c r="F212" s="7"/>
    </row>
    <row r="213" spans="3:6" x14ac:dyDescent="0.25">
      <c r="C213" s="7"/>
      <c r="D213" s="7"/>
      <c r="E213" s="7"/>
      <c r="F213" s="7"/>
    </row>
    <row r="214" spans="3:6" x14ac:dyDescent="0.25">
      <c r="C214" s="7"/>
      <c r="D214" s="7"/>
      <c r="E214" s="7"/>
      <c r="F214" s="7"/>
    </row>
    <row r="215" spans="3:6" x14ac:dyDescent="0.25">
      <c r="C215" s="7"/>
      <c r="D215" s="7"/>
      <c r="E215" s="7"/>
      <c r="F215" s="7"/>
    </row>
    <row r="216" spans="3:6" x14ac:dyDescent="0.25">
      <c r="C216" s="7"/>
      <c r="D216" s="7"/>
      <c r="E216" s="7"/>
      <c r="F216" s="7"/>
    </row>
    <row r="217" spans="3:6" x14ac:dyDescent="0.25">
      <c r="C217" s="7"/>
      <c r="D217" s="7"/>
      <c r="E217" s="7"/>
      <c r="F217" s="7"/>
    </row>
    <row r="218" spans="3:6" x14ac:dyDescent="0.25">
      <c r="C218" s="7"/>
      <c r="D218" s="7"/>
      <c r="E218" s="7"/>
      <c r="F218" s="7"/>
    </row>
    <row r="219" spans="3:6" x14ac:dyDescent="0.25">
      <c r="C219" s="7"/>
      <c r="D219" s="7"/>
      <c r="E219" s="7"/>
      <c r="F219" s="7"/>
    </row>
    <row r="220" spans="3:6" x14ac:dyDescent="0.25">
      <c r="C220" s="7"/>
      <c r="D220" s="7"/>
      <c r="E220" s="7"/>
      <c r="F220" s="7"/>
    </row>
    <row r="221" spans="3:6" x14ac:dyDescent="0.25">
      <c r="C221" s="7"/>
      <c r="D221" s="7"/>
      <c r="E221" s="7"/>
      <c r="F221" s="7"/>
    </row>
    <row r="222" spans="3:6" x14ac:dyDescent="0.25">
      <c r="C222" s="7"/>
      <c r="D222" s="7"/>
      <c r="E222" s="7"/>
      <c r="F222" s="7"/>
    </row>
    <row r="223" spans="3:6" x14ac:dyDescent="0.25">
      <c r="C223" s="7"/>
      <c r="D223" s="7"/>
      <c r="E223" s="7"/>
      <c r="F223" s="7"/>
    </row>
    <row r="224" spans="3:6" x14ac:dyDescent="0.25">
      <c r="C224" s="7"/>
      <c r="D224" s="7"/>
      <c r="E224" s="7"/>
      <c r="F224" s="7"/>
    </row>
    <row r="225" spans="3:6" x14ac:dyDescent="0.25">
      <c r="C225" s="7"/>
      <c r="D225" s="7"/>
      <c r="E225" s="7"/>
      <c r="F225" s="7"/>
    </row>
    <row r="226" spans="3:6" x14ac:dyDescent="0.25">
      <c r="C226" s="7"/>
      <c r="D226" s="7"/>
      <c r="E226" s="7"/>
      <c r="F226" s="7"/>
    </row>
    <row r="227" spans="3:6" x14ac:dyDescent="0.25">
      <c r="C227" s="7"/>
      <c r="D227" s="7"/>
      <c r="E227" s="7"/>
      <c r="F227" s="7"/>
    </row>
    <row r="228" spans="3:6" x14ac:dyDescent="0.25">
      <c r="C228" s="7"/>
      <c r="D228" s="7"/>
      <c r="E228" s="7"/>
      <c r="F228" s="7"/>
    </row>
    <row r="229" spans="3:6" x14ac:dyDescent="0.25">
      <c r="C229" s="7"/>
      <c r="D229" s="7"/>
      <c r="E229" s="7"/>
      <c r="F229" s="7"/>
    </row>
    <row r="230" spans="3:6" x14ac:dyDescent="0.25">
      <c r="C230" s="7"/>
      <c r="D230" s="7"/>
      <c r="E230" s="7"/>
      <c r="F230" s="7"/>
    </row>
    <row r="231" spans="3:6" x14ac:dyDescent="0.25">
      <c r="C231" s="7"/>
      <c r="D231" s="7"/>
      <c r="E231" s="7"/>
      <c r="F231" s="7"/>
    </row>
    <row r="232" spans="3:6" x14ac:dyDescent="0.25">
      <c r="C232" s="7"/>
      <c r="D232" s="7"/>
      <c r="E232" s="7"/>
      <c r="F232" s="7"/>
    </row>
    <row r="233" spans="3:6" x14ac:dyDescent="0.25">
      <c r="C233" s="7"/>
      <c r="D233" s="7"/>
      <c r="E233" s="7"/>
      <c r="F233" s="7"/>
    </row>
  </sheetData>
  <sheetProtection algorithmName="SHA-512" hashValue="v/rn5sASvtv3ep3jSOwDfFuFXlbOTGSvZ00BbacB5X8N1wer0Rg29oNhayt75mz4e0gPrLkU283nt24h4grkWQ==" saltValue="rE9ni7b7vM4YUcGIWPUqDQ==" spinCount="100000" sheet="1" formatCells="0" formatColumns="0" formatRows="0" insertColumns="0" insertRows="0" insertHyperlinks="0" deleteColumns="0" deleteRows="0" sort="0" autoFilter="0" pivotTables="0"/>
  <mergeCells count="29">
    <mergeCell ref="B29:C29"/>
    <mergeCell ref="B30:C30"/>
    <mergeCell ref="B19:C19"/>
    <mergeCell ref="B20:C20"/>
    <mergeCell ref="B21:C21"/>
    <mergeCell ref="B22:C22"/>
    <mergeCell ref="B23:C23"/>
    <mergeCell ref="B24:C24"/>
    <mergeCell ref="A1:F1"/>
    <mergeCell ref="B25:C25"/>
    <mergeCell ref="B26:C26"/>
    <mergeCell ref="B27:C27"/>
    <mergeCell ref="B28:C28"/>
    <mergeCell ref="B13:C13"/>
    <mergeCell ref="B14:C14"/>
    <mergeCell ref="B15:C15"/>
    <mergeCell ref="B16:C16"/>
    <mergeCell ref="B17:C17"/>
    <mergeCell ref="B18:C18"/>
    <mergeCell ref="D6:E6"/>
    <mergeCell ref="D7:E7"/>
    <mergeCell ref="D8:E8"/>
    <mergeCell ref="B11:C11"/>
    <mergeCell ref="B12:C12"/>
    <mergeCell ref="B31:C31"/>
    <mergeCell ref="C33:D33"/>
    <mergeCell ref="E33:F33"/>
    <mergeCell ref="C34:D34"/>
    <mergeCell ref="E34:F3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710C8-6FB9-46EE-886E-9A7B1A24D5D8}">
  <sheetPr codeName="Sheet9"/>
  <dimension ref="A1:J233"/>
  <sheetViews>
    <sheetView showGridLines="0" topLeftCell="A7" zoomScaleNormal="100" workbookViewId="0">
      <selection activeCell="E16" sqref="E16:E27"/>
    </sheetView>
  </sheetViews>
  <sheetFormatPr defaultRowHeight="13.8" x14ac:dyDescent="0.25"/>
  <cols>
    <col min="1" max="1" width="4.69921875" style="6" customWidth="1"/>
    <col min="2" max="2" width="20.69921875" style="6" customWidth="1"/>
    <col min="3" max="3" width="20.69921875" customWidth="1"/>
    <col min="4" max="4" width="7.69921875" customWidth="1"/>
    <col min="5" max="6" width="15.296875" customWidth="1"/>
    <col min="9" max="9" width="13.296875" customWidth="1"/>
  </cols>
  <sheetData>
    <row r="1" spans="1:10" ht="18" x14ac:dyDescent="0.25">
      <c r="A1" s="126" t="s">
        <v>79</v>
      </c>
      <c r="B1" s="127"/>
      <c r="C1" s="127"/>
      <c r="D1" s="127"/>
      <c r="E1" s="127"/>
      <c r="F1" s="128"/>
    </row>
    <row r="2" spans="1:10" x14ac:dyDescent="0.25">
      <c r="A2" s="15"/>
      <c r="B2" s="63" t="s">
        <v>45</v>
      </c>
      <c r="C2" s="16"/>
      <c r="D2" s="16"/>
      <c r="E2" s="62" t="s">
        <v>80</v>
      </c>
      <c r="F2" s="21"/>
    </row>
    <row r="3" spans="1:10" x14ac:dyDescent="0.25">
      <c r="A3" s="15"/>
      <c r="B3" s="63" t="s">
        <v>33</v>
      </c>
      <c r="C3" s="16"/>
      <c r="E3" s="62" t="s">
        <v>34</v>
      </c>
      <c r="F3" s="50"/>
    </row>
    <row r="4" spans="1:10" ht="15.6" x14ac:dyDescent="0.3">
      <c r="A4" s="15"/>
      <c r="B4" s="63" t="s">
        <v>35</v>
      </c>
      <c r="C4" s="16"/>
      <c r="D4" s="17"/>
      <c r="E4" s="62" t="s">
        <v>37</v>
      </c>
      <c r="F4" s="51"/>
    </row>
    <row r="5" spans="1:10" ht="15.6" x14ac:dyDescent="0.3">
      <c r="A5" s="15"/>
      <c r="B5" s="16"/>
      <c r="C5" s="16"/>
      <c r="D5" s="1"/>
      <c r="E5" s="17"/>
      <c r="F5" s="18"/>
    </row>
    <row r="6" spans="1:10" ht="15.6" x14ac:dyDescent="0.3">
      <c r="A6" s="15"/>
      <c r="B6" s="63" t="s">
        <v>55</v>
      </c>
      <c r="C6" s="16"/>
      <c r="D6" s="144"/>
      <c r="E6" s="144"/>
      <c r="F6" s="18"/>
    </row>
    <row r="7" spans="1:10" ht="15.6" x14ac:dyDescent="0.3">
      <c r="A7" s="15"/>
      <c r="B7" s="63" t="s">
        <v>50</v>
      </c>
      <c r="C7" s="16"/>
      <c r="D7" s="145"/>
      <c r="E7" s="145"/>
      <c r="F7" s="18"/>
    </row>
    <row r="8" spans="1:10" ht="15.6" x14ac:dyDescent="0.3">
      <c r="A8" s="15"/>
      <c r="B8" s="63" t="s">
        <v>69</v>
      </c>
      <c r="C8" s="16"/>
      <c r="D8" s="146" t="s">
        <v>83</v>
      </c>
      <c r="E8" s="146"/>
      <c r="F8" s="19"/>
    </row>
    <row r="9" spans="1:10" x14ac:dyDescent="0.25">
      <c r="A9" s="15"/>
      <c r="F9" s="20"/>
    </row>
    <row r="10" spans="1:10" x14ac:dyDescent="0.25">
      <c r="A10" s="15"/>
      <c r="F10" s="20"/>
    </row>
    <row r="11" spans="1:10" x14ac:dyDescent="0.25">
      <c r="A11" s="10" t="s">
        <v>64</v>
      </c>
      <c r="B11" s="147" t="s">
        <v>46</v>
      </c>
      <c r="C11" s="148"/>
      <c r="D11" s="11" t="s">
        <v>47</v>
      </c>
      <c r="E11" s="11" t="s">
        <v>49</v>
      </c>
      <c r="F11" s="11" t="s">
        <v>48</v>
      </c>
      <c r="I11" s="55" t="s">
        <v>88</v>
      </c>
      <c r="J11" s="53">
        <v>1</v>
      </c>
    </row>
    <row r="12" spans="1:10" x14ac:dyDescent="0.25">
      <c r="A12" s="10">
        <v>1</v>
      </c>
      <c r="B12" s="140" t="s">
        <v>51</v>
      </c>
      <c r="C12" s="141"/>
      <c r="D12" s="105">
        <v>0</v>
      </c>
      <c r="E12" s="57">
        <v>0</v>
      </c>
      <c r="F12" s="14">
        <f t="shared" ref="F12:F31" si="0">D12*E12</f>
        <v>0</v>
      </c>
      <c r="I12" s="56" t="s">
        <v>87</v>
      </c>
      <c r="J12" s="54">
        <v>1</v>
      </c>
    </row>
    <row r="13" spans="1:10" x14ac:dyDescent="0.25">
      <c r="A13" s="10">
        <v>2</v>
      </c>
      <c r="B13" s="140" t="s">
        <v>52</v>
      </c>
      <c r="C13" s="141" t="s">
        <v>52</v>
      </c>
      <c r="D13" s="106">
        <v>0.05</v>
      </c>
      <c r="E13" s="52">
        <f>D12*E12</f>
        <v>0</v>
      </c>
      <c r="F13" s="14">
        <f t="shared" si="0"/>
        <v>0</v>
      </c>
      <c r="I13" s="55" t="s">
        <v>86</v>
      </c>
      <c r="J13" s="28">
        <v>1</v>
      </c>
    </row>
    <row r="14" spans="1:10" x14ac:dyDescent="0.25">
      <c r="A14" s="10">
        <v>3</v>
      </c>
      <c r="B14" s="140" t="s">
        <v>54</v>
      </c>
      <c r="C14" s="141" t="s">
        <v>54</v>
      </c>
      <c r="D14" s="106">
        <v>0.05</v>
      </c>
      <c r="E14" s="52">
        <f>D12*E12</f>
        <v>0</v>
      </c>
      <c r="F14" s="14">
        <f>D14*E14</f>
        <v>0</v>
      </c>
    </row>
    <row r="15" spans="1:10" x14ac:dyDescent="0.25">
      <c r="A15" s="10">
        <v>4</v>
      </c>
      <c r="B15" s="140" t="s">
        <v>56</v>
      </c>
      <c r="C15" s="141" t="s">
        <v>56</v>
      </c>
      <c r="D15" s="106">
        <v>0</v>
      </c>
      <c r="E15" s="52">
        <f>F12+F13</f>
        <v>0</v>
      </c>
      <c r="F15" s="14">
        <f t="shared" si="0"/>
        <v>0</v>
      </c>
    </row>
    <row r="16" spans="1:10" x14ac:dyDescent="0.25">
      <c r="A16" s="10">
        <v>5</v>
      </c>
      <c r="B16" s="140" t="s">
        <v>53</v>
      </c>
      <c r="C16" s="141" t="s">
        <v>53</v>
      </c>
      <c r="D16" s="105">
        <f>D12</f>
        <v>0</v>
      </c>
      <c r="E16" s="57"/>
      <c r="F16" s="14">
        <f t="shared" si="0"/>
        <v>0</v>
      </c>
    </row>
    <row r="17" spans="1:6" x14ac:dyDescent="0.25">
      <c r="A17" s="10">
        <v>6</v>
      </c>
      <c r="B17" s="140" t="s">
        <v>72</v>
      </c>
      <c r="C17" s="141" t="s">
        <v>72</v>
      </c>
      <c r="D17" s="105">
        <f>D12</f>
        <v>0</v>
      </c>
      <c r="E17" s="57"/>
      <c r="F17" s="14">
        <f t="shared" si="0"/>
        <v>0</v>
      </c>
    </row>
    <row r="18" spans="1:6" x14ac:dyDescent="0.25">
      <c r="A18" s="10">
        <v>7</v>
      </c>
      <c r="B18" s="140" t="s">
        <v>71</v>
      </c>
      <c r="C18" s="141" t="s">
        <v>71</v>
      </c>
      <c r="D18" s="105">
        <v>0</v>
      </c>
      <c r="E18" s="57"/>
      <c r="F18" s="14">
        <f t="shared" si="0"/>
        <v>0</v>
      </c>
    </row>
    <row r="19" spans="1:6" x14ac:dyDescent="0.25">
      <c r="A19" s="10">
        <v>8</v>
      </c>
      <c r="B19" s="140" t="s">
        <v>25</v>
      </c>
      <c r="C19" s="141" t="s">
        <v>25</v>
      </c>
      <c r="D19" s="105">
        <f>D12</f>
        <v>0</v>
      </c>
      <c r="E19" s="57"/>
      <c r="F19" s="14">
        <f t="shared" si="0"/>
        <v>0</v>
      </c>
    </row>
    <row r="20" spans="1:6" x14ac:dyDescent="0.25">
      <c r="A20" s="10">
        <v>9</v>
      </c>
      <c r="B20" s="140" t="s">
        <v>60</v>
      </c>
      <c r="C20" s="141" t="s">
        <v>60</v>
      </c>
      <c r="D20" s="105">
        <f>D12</f>
        <v>0</v>
      </c>
      <c r="E20" s="57"/>
      <c r="F20" s="14">
        <f t="shared" si="0"/>
        <v>0</v>
      </c>
    </row>
    <row r="21" spans="1:6" x14ac:dyDescent="0.25">
      <c r="A21" s="10">
        <v>10</v>
      </c>
      <c r="B21" s="140" t="s">
        <v>59</v>
      </c>
      <c r="C21" s="141" t="s">
        <v>59</v>
      </c>
      <c r="D21" s="105">
        <f>D12</f>
        <v>0</v>
      </c>
      <c r="E21" s="57"/>
      <c r="F21" s="14">
        <f t="shared" si="0"/>
        <v>0</v>
      </c>
    </row>
    <row r="22" spans="1:6" x14ac:dyDescent="0.25">
      <c r="A22" s="10">
        <v>11</v>
      </c>
      <c r="B22" s="140" t="s">
        <v>65</v>
      </c>
      <c r="C22" s="141" t="s">
        <v>65</v>
      </c>
      <c r="D22" s="105">
        <f>D12</f>
        <v>0</v>
      </c>
      <c r="E22" s="57"/>
      <c r="F22" s="14">
        <f t="shared" si="0"/>
        <v>0</v>
      </c>
    </row>
    <row r="23" spans="1:6" x14ac:dyDescent="0.25">
      <c r="A23" s="10">
        <v>12</v>
      </c>
      <c r="B23" s="140" t="s">
        <v>66</v>
      </c>
      <c r="C23" s="141" t="s">
        <v>66</v>
      </c>
      <c r="D23" s="105">
        <f>D12</f>
        <v>0</v>
      </c>
      <c r="E23" s="57"/>
      <c r="F23" s="14">
        <f t="shared" si="0"/>
        <v>0</v>
      </c>
    </row>
    <row r="24" spans="1:6" x14ac:dyDescent="0.25">
      <c r="A24" s="10">
        <v>13</v>
      </c>
      <c r="B24" s="140" t="s">
        <v>73</v>
      </c>
      <c r="C24" s="141" t="s">
        <v>73</v>
      </c>
      <c r="D24" s="105">
        <f>D12</f>
        <v>0</v>
      </c>
      <c r="E24" s="57"/>
      <c r="F24" s="14">
        <f t="shared" si="0"/>
        <v>0</v>
      </c>
    </row>
    <row r="25" spans="1:6" x14ac:dyDescent="0.25">
      <c r="A25" s="10">
        <v>14</v>
      </c>
      <c r="B25" s="140" t="s">
        <v>67</v>
      </c>
      <c r="C25" s="141" t="s">
        <v>67</v>
      </c>
      <c r="D25" s="105">
        <f>D12</f>
        <v>0</v>
      </c>
      <c r="E25" s="57"/>
      <c r="F25" s="14">
        <f t="shared" si="0"/>
        <v>0</v>
      </c>
    </row>
    <row r="26" spans="1:6" x14ac:dyDescent="0.25">
      <c r="A26" s="10">
        <v>15</v>
      </c>
      <c r="B26" s="140" t="s">
        <v>57</v>
      </c>
      <c r="C26" s="141" t="s">
        <v>57</v>
      </c>
      <c r="D26" s="105">
        <f>D12</f>
        <v>0</v>
      </c>
      <c r="E26" s="57"/>
      <c r="F26" s="14">
        <f t="shared" si="0"/>
        <v>0</v>
      </c>
    </row>
    <row r="27" spans="1:6" x14ac:dyDescent="0.25">
      <c r="A27" s="10">
        <v>16</v>
      </c>
      <c r="B27" s="140" t="s">
        <v>58</v>
      </c>
      <c r="C27" s="141" t="s">
        <v>58</v>
      </c>
      <c r="D27" s="105">
        <f>D12</f>
        <v>0</v>
      </c>
      <c r="E27" s="57"/>
      <c r="F27" s="14">
        <f t="shared" si="0"/>
        <v>0</v>
      </c>
    </row>
    <row r="28" spans="1:6" x14ac:dyDescent="0.25">
      <c r="A28" s="10">
        <v>17</v>
      </c>
      <c r="B28" s="140" t="s">
        <v>61</v>
      </c>
      <c r="C28" s="141" t="s">
        <v>61</v>
      </c>
      <c r="D28" s="105">
        <f>D12</f>
        <v>0</v>
      </c>
      <c r="E28" s="57"/>
      <c r="F28" s="14">
        <f t="shared" si="0"/>
        <v>0</v>
      </c>
    </row>
    <row r="29" spans="1:6" x14ac:dyDescent="0.25">
      <c r="A29" s="10">
        <v>18</v>
      </c>
      <c r="B29" s="140" t="s">
        <v>62</v>
      </c>
      <c r="C29" s="141" t="s">
        <v>62</v>
      </c>
      <c r="D29" s="105">
        <f>D12</f>
        <v>0</v>
      </c>
      <c r="E29" s="57"/>
      <c r="F29" s="14">
        <f t="shared" si="0"/>
        <v>0</v>
      </c>
    </row>
    <row r="30" spans="1:6" x14ac:dyDescent="0.25">
      <c r="A30" s="10">
        <v>19</v>
      </c>
      <c r="B30" s="140" t="s">
        <v>63</v>
      </c>
      <c r="C30" s="141" t="s">
        <v>63</v>
      </c>
      <c r="D30" s="106">
        <v>0</v>
      </c>
      <c r="E30" s="60">
        <f>F12</f>
        <v>0</v>
      </c>
      <c r="F30" s="59">
        <f t="shared" si="0"/>
        <v>0</v>
      </c>
    </row>
    <row r="31" spans="1:6" x14ac:dyDescent="0.25">
      <c r="A31" s="10">
        <v>20</v>
      </c>
      <c r="B31" s="140" t="s">
        <v>70</v>
      </c>
      <c r="C31" s="141" t="s">
        <v>70</v>
      </c>
      <c r="D31" s="105">
        <v>0.01</v>
      </c>
      <c r="E31" s="61">
        <v>0</v>
      </c>
      <c r="F31" s="14">
        <f t="shared" si="0"/>
        <v>0</v>
      </c>
    </row>
    <row r="32" spans="1:6" ht="14.4" thickBot="1" x14ac:dyDescent="0.3">
      <c r="A32" s="15"/>
      <c r="D32" s="9"/>
      <c r="E32" s="13"/>
      <c r="F32" s="13"/>
    </row>
    <row r="33" spans="3:6" x14ac:dyDescent="0.25">
      <c r="C33" s="136" t="s">
        <v>89</v>
      </c>
      <c r="D33" s="137"/>
      <c r="E33" s="142">
        <f>SUM(F12:F31)</f>
        <v>0</v>
      </c>
      <c r="F33" s="143"/>
    </row>
    <row r="34" spans="3:6" ht="14.4" thickBot="1" x14ac:dyDescent="0.3">
      <c r="C34" s="138" t="s">
        <v>90</v>
      </c>
      <c r="D34" s="139"/>
      <c r="E34" s="134">
        <f>IF(E33&gt;0,E33/D12,0)</f>
        <v>0</v>
      </c>
      <c r="F34" s="135"/>
    </row>
    <row r="35" spans="3:6" x14ac:dyDescent="0.25">
      <c r="C35" s="7"/>
      <c r="D35" s="8"/>
      <c r="E35" s="6"/>
      <c r="F35" s="12"/>
    </row>
    <row r="36" spans="3:6" x14ac:dyDescent="0.25">
      <c r="C36" s="7"/>
      <c r="D36" s="8"/>
      <c r="E36" s="6"/>
      <c r="F36" s="6"/>
    </row>
    <row r="37" spans="3:6" x14ac:dyDescent="0.25">
      <c r="C37" s="7"/>
      <c r="D37" s="8"/>
      <c r="E37" s="6"/>
      <c r="F37" s="6"/>
    </row>
    <row r="38" spans="3:6" x14ac:dyDescent="0.25">
      <c r="C38" s="7"/>
      <c r="D38" s="8"/>
      <c r="E38" s="6"/>
      <c r="F38" s="6"/>
    </row>
    <row r="39" spans="3:6" x14ac:dyDescent="0.25">
      <c r="C39" s="7"/>
      <c r="D39" s="8"/>
      <c r="E39" s="6"/>
      <c r="F39" s="6"/>
    </row>
    <row r="40" spans="3:6" x14ac:dyDescent="0.25">
      <c r="C40" s="7"/>
      <c r="D40" s="8"/>
      <c r="E40" s="6"/>
      <c r="F40" s="6"/>
    </row>
    <row r="41" spans="3:6" x14ac:dyDescent="0.25">
      <c r="C41" s="7"/>
      <c r="D41" s="8"/>
      <c r="E41" s="6"/>
      <c r="F41" s="6"/>
    </row>
    <row r="42" spans="3:6" x14ac:dyDescent="0.25">
      <c r="C42" s="7"/>
      <c r="D42" s="8"/>
      <c r="E42" s="6"/>
      <c r="F42" s="6"/>
    </row>
    <row r="43" spans="3:6" x14ac:dyDescent="0.25">
      <c r="C43" s="7"/>
      <c r="D43" s="8"/>
      <c r="E43" s="6"/>
      <c r="F43" s="6"/>
    </row>
    <row r="44" spans="3:6" x14ac:dyDescent="0.25">
      <c r="C44" s="7"/>
      <c r="D44" s="8"/>
      <c r="E44" s="6"/>
      <c r="F44" s="6"/>
    </row>
    <row r="45" spans="3:6" x14ac:dyDescent="0.25">
      <c r="C45" s="7"/>
      <c r="D45" s="8"/>
      <c r="E45" s="6"/>
      <c r="F45" s="6"/>
    </row>
    <row r="46" spans="3:6" x14ac:dyDescent="0.25">
      <c r="C46" s="7"/>
      <c r="D46" s="8"/>
      <c r="E46" s="6"/>
      <c r="F46" s="6"/>
    </row>
    <row r="47" spans="3:6" x14ac:dyDescent="0.25">
      <c r="C47" s="7"/>
      <c r="D47" s="8"/>
      <c r="E47" s="6"/>
      <c r="F47" s="6"/>
    </row>
    <row r="48" spans="3:6" x14ac:dyDescent="0.25">
      <c r="C48" s="7"/>
      <c r="D48" s="8"/>
      <c r="E48" s="6"/>
      <c r="F48" s="6"/>
    </row>
    <row r="49" spans="3:6" x14ac:dyDescent="0.25">
      <c r="C49" s="7"/>
      <c r="D49" s="8"/>
      <c r="E49" s="6"/>
      <c r="F49" s="6"/>
    </row>
    <row r="50" spans="3:6" x14ac:dyDescent="0.25">
      <c r="C50" s="7"/>
      <c r="D50" s="8"/>
      <c r="E50" s="6"/>
      <c r="F50" s="6"/>
    </row>
    <row r="51" spans="3:6" x14ac:dyDescent="0.25">
      <c r="C51" s="7"/>
      <c r="D51" s="8"/>
      <c r="E51" s="6"/>
      <c r="F51" s="6"/>
    </row>
    <row r="52" spans="3:6" x14ac:dyDescent="0.25">
      <c r="C52" s="7"/>
      <c r="D52" s="8"/>
      <c r="E52" s="6"/>
      <c r="F52" s="6"/>
    </row>
    <row r="53" spans="3:6" x14ac:dyDescent="0.25">
      <c r="C53" s="7"/>
      <c r="D53" s="8"/>
      <c r="E53" s="6"/>
      <c r="F53" s="6"/>
    </row>
    <row r="54" spans="3:6" x14ac:dyDescent="0.25">
      <c r="C54" s="7"/>
      <c r="D54" s="8"/>
      <c r="E54" s="6"/>
      <c r="F54" s="6"/>
    </row>
    <row r="55" spans="3:6" x14ac:dyDescent="0.25">
      <c r="C55" s="7"/>
      <c r="D55" s="8"/>
      <c r="E55" s="6"/>
      <c r="F55" s="6"/>
    </row>
    <row r="56" spans="3:6" x14ac:dyDescent="0.25">
      <c r="C56" s="7"/>
      <c r="D56" s="8"/>
      <c r="E56" s="6"/>
      <c r="F56" s="6"/>
    </row>
    <row r="57" spans="3:6" x14ac:dyDescent="0.25">
      <c r="C57" s="7"/>
      <c r="D57" s="8"/>
      <c r="E57" s="6"/>
      <c r="F57" s="6"/>
    </row>
    <row r="58" spans="3:6" x14ac:dyDescent="0.25">
      <c r="C58" s="7"/>
      <c r="D58" s="8"/>
      <c r="E58" s="6"/>
      <c r="F58" s="6"/>
    </row>
    <row r="59" spans="3:6" x14ac:dyDescent="0.25">
      <c r="C59" s="7"/>
      <c r="D59" s="8"/>
      <c r="E59" s="6"/>
      <c r="F59" s="6"/>
    </row>
    <row r="60" spans="3:6" x14ac:dyDescent="0.25">
      <c r="C60" s="7"/>
      <c r="D60" s="8"/>
      <c r="E60" s="6"/>
      <c r="F60" s="6"/>
    </row>
    <row r="61" spans="3:6" x14ac:dyDescent="0.25">
      <c r="C61" s="7"/>
      <c r="D61" s="8"/>
      <c r="E61" s="6"/>
      <c r="F61" s="6"/>
    </row>
    <row r="62" spans="3:6" x14ac:dyDescent="0.25">
      <c r="C62" s="7"/>
      <c r="D62" s="8"/>
      <c r="E62" s="6"/>
      <c r="F62" s="6"/>
    </row>
    <row r="63" spans="3:6" x14ac:dyDescent="0.25">
      <c r="C63" s="7"/>
      <c r="D63" s="8"/>
      <c r="E63" s="6"/>
      <c r="F63" s="6"/>
    </row>
    <row r="64" spans="3:6" x14ac:dyDescent="0.25">
      <c r="C64" s="7"/>
      <c r="D64" s="8"/>
      <c r="E64" s="6"/>
      <c r="F64" s="6"/>
    </row>
    <row r="65" spans="3:6" x14ac:dyDescent="0.25">
      <c r="C65" s="7"/>
      <c r="D65" s="8"/>
      <c r="E65" s="6"/>
      <c r="F65" s="6"/>
    </row>
    <row r="66" spans="3:6" x14ac:dyDescent="0.25">
      <c r="C66" s="7"/>
      <c r="D66" s="6"/>
      <c r="E66" s="6"/>
      <c r="F66" s="6"/>
    </row>
    <row r="67" spans="3:6" x14ac:dyDescent="0.25">
      <c r="C67" s="7"/>
      <c r="D67" s="6"/>
      <c r="E67" s="6"/>
      <c r="F67" s="6"/>
    </row>
    <row r="68" spans="3:6" x14ac:dyDescent="0.25">
      <c r="C68" s="7"/>
      <c r="D68" s="6"/>
      <c r="E68" s="6"/>
      <c r="F68" s="6"/>
    </row>
    <row r="69" spans="3:6" x14ac:dyDescent="0.25">
      <c r="C69" s="7"/>
      <c r="D69" s="6"/>
      <c r="E69" s="6"/>
      <c r="F69" s="6"/>
    </row>
    <row r="70" spans="3:6" x14ac:dyDescent="0.25">
      <c r="C70" s="7"/>
      <c r="D70" s="6"/>
      <c r="E70" s="6"/>
      <c r="F70" s="6"/>
    </row>
    <row r="71" spans="3:6" x14ac:dyDescent="0.25">
      <c r="C71" s="7"/>
      <c r="D71" s="6"/>
      <c r="E71" s="6"/>
      <c r="F71" s="6"/>
    </row>
    <row r="72" spans="3:6" x14ac:dyDescent="0.25">
      <c r="C72" s="7"/>
      <c r="D72" s="6"/>
      <c r="E72" s="6"/>
      <c r="F72" s="6"/>
    </row>
    <row r="73" spans="3:6" x14ac:dyDescent="0.25">
      <c r="C73" s="7"/>
      <c r="D73" s="6"/>
      <c r="E73" s="6"/>
      <c r="F73" s="6"/>
    </row>
    <row r="74" spans="3:6" x14ac:dyDescent="0.25">
      <c r="C74" s="7"/>
      <c r="D74" s="6"/>
      <c r="E74" s="6"/>
      <c r="F74" s="6"/>
    </row>
    <row r="75" spans="3:6" x14ac:dyDescent="0.25">
      <c r="C75" s="7"/>
      <c r="D75" s="6"/>
      <c r="E75" s="6"/>
      <c r="F75" s="6"/>
    </row>
    <row r="76" spans="3:6" x14ac:dyDescent="0.25">
      <c r="C76" s="7"/>
      <c r="D76" s="6"/>
      <c r="E76" s="6"/>
      <c r="F76" s="6"/>
    </row>
    <row r="77" spans="3:6" x14ac:dyDescent="0.25">
      <c r="C77" s="7"/>
      <c r="D77" s="6"/>
      <c r="E77" s="6"/>
      <c r="F77" s="6"/>
    </row>
    <row r="78" spans="3:6" x14ac:dyDescent="0.25">
      <c r="C78" s="7"/>
      <c r="D78" s="6"/>
      <c r="E78" s="6"/>
      <c r="F78" s="6"/>
    </row>
    <row r="79" spans="3:6" x14ac:dyDescent="0.25">
      <c r="C79" s="7"/>
      <c r="D79" s="6"/>
      <c r="E79" s="6"/>
      <c r="F79" s="6"/>
    </row>
    <row r="80" spans="3:6" x14ac:dyDescent="0.25">
      <c r="C80" s="7"/>
      <c r="D80" s="6"/>
      <c r="E80" s="6"/>
      <c r="F80" s="6"/>
    </row>
    <row r="81" spans="3:6" x14ac:dyDescent="0.25">
      <c r="C81" s="7"/>
      <c r="D81" s="6"/>
      <c r="E81" s="6"/>
      <c r="F81" s="6"/>
    </row>
    <row r="82" spans="3:6" x14ac:dyDescent="0.25">
      <c r="C82" s="7"/>
      <c r="D82" s="6"/>
      <c r="E82" s="6"/>
      <c r="F82" s="6"/>
    </row>
    <row r="83" spans="3:6" x14ac:dyDescent="0.25">
      <c r="C83" s="7"/>
      <c r="D83" s="6"/>
      <c r="E83" s="6"/>
      <c r="F83" s="6"/>
    </row>
    <row r="84" spans="3:6" x14ac:dyDescent="0.25">
      <c r="C84" s="7"/>
      <c r="D84" s="6"/>
      <c r="E84" s="6"/>
      <c r="F84" s="6"/>
    </row>
    <row r="85" spans="3:6" x14ac:dyDescent="0.25">
      <c r="C85" s="7"/>
      <c r="D85" s="6"/>
      <c r="E85" s="6"/>
      <c r="F85" s="6"/>
    </row>
    <row r="86" spans="3:6" x14ac:dyDescent="0.25">
      <c r="C86" s="7"/>
      <c r="D86" s="6"/>
      <c r="E86" s="6"/>
      <c r="F86" s="6"/>
    </row>
    <row r="87" spans="3:6" x14ac:dyDescent="0.25">
      <c r="C87" s="7"/>
      <c r="D87" s="6"/>
      <c r="E87" s="6"/>
      <c r="F87" s="6"/>
    </row>
    <row r="88" spans="3:6" x14ac:dyDescent="0.25">
      <c r="C88" s="7"/>
      <c r="D88" s="6"/>
      <c r="E88" s="6"/>
      <c r="F88" s="6"/>
    </row>
    <row r="89" spans="3:6" x14ac:dyDescent="0.25">
      <c r="C89" s="7"/>
      <c r="D89" s="6"/>
      <c r="E89" s="6"/>
      <c r="F89" s="6"/>
    </row>
    <row r="90" spans="3:6" x14ac:dyDescent="0.25">
      <c r="C90" s="7"/>
      <c r="D90" s="6"/>
      <c r="E90" s="6"/>
      <c r="F90" s="6"/>
    </row>
    <row r="91" spans="3:6" x14ac:dyDescent="0.25">
      <c r="C91" s="7"/>
      <c r="D91" s="6"/>
      <c r="E91" s="6"/>
      <c r="F91" s="6"/>
    </row>
    <row r="92" spans="3:6" x14ac:dyDescent="0.25">
      <c r="C92" s="7"/>
      <c r="D92" s="6"/>
      <c r="E92" s="6"/>
      <c r="F92" s="6"/>
    </row>
    <row r="93" spans="3:6" x14ac:dyDescent="0.25">
      <c r="C93" s="7"/>
      <c r="D93" s="6"/>
      <c r="E93" s="6"/>
      <c r="F93" s="6"/>
    </row>
    <row r="94" spans="3:6" x14ac:dyDescent="0.25">
      <c r="C94" s="7"/>
      <c r="D94" s="6"/>
      <c r="E94" s="6"/>
      <c r="F94" s="6"/>
    </row>
    <row r="95" spans="3:6" x14ac:dyDescent="0.25">
      <c r="C95" s="7"/>
      <c r="D95" s="7"/>
      <c r="E95" s="7"/>
      <c r="F95" s="7"/>
    </row>
    <row r="96" spans="3:6" x14ac:dyDescent="0.25">
      <c r="C96" s="7"/>
      <c r="D96" s="7"/>
      <c r="E96" s="7"/>
      <c r="F96" s="7"/>
    </row>
    <row r="97" spans="3:6" x14ac:dyDescent="0.25">
      <c r="C97" s="7"/>
      <c r="D97" s="7"/>
      <c r="E97" s="7"/>
      <c r="F97" s="7"/>
    </row>
    <row r="98" spans="3:6" x14ac:dyDescent="0.25">
      <c r="C98" s="7"/>
      <c r="D98" s="7"/>
      <c r="E98" s="7"/>
      <c r="F98" s="7"/>
    </row>
    <row r="99" spans="3:6" x14ac:dyDescent="0.25">
      <c r="C99" s="7"/>
      <c r="D99" s="7"/>
      <c r="E99" s="7"/>
      <c r="F99" s="7"/>
    </row>
    <row r="100" spans="3:6" x14ac:dyDescent="0.25">
      <c r="C100" s="7"/>
      <c r="D100" s="7"/>
      <c r="E100" s="7"/>
      <c r="F100" s="7"/>
    </row>
    <row r="101" spans="3:6" x14ac:dyDescent="0.25">
      <c r="C101" s="7"/>
      <c r="D101" s="7"/>
      <c r="E101" s="7"/>
      <c r="F101" s="7"/>
    </row>
    <row r="102" spans="3:6" x14ac:dyDescent="0.25">
      <c r="C102" s="7"/>
      <c r="D102" s="7"/>
      <c r="E102" s="7"/>
      <c r="F102" s="7"/>
    </row>
    <row r="103" spans="3:6" x14ac:dyDescent="0.25">
      <c r="C103" s="7"/>
      <c r="D103" s="7"/>
      <c r="E103" s="7"/>
      <c r="F103" s="7"/>
    </row>
    <row r="104" spans="3:6" x14ac:dyDescent="0.25">
      <c r="C104" s="7"/>
      <c r="D104" s="7"/>
      <c r="E104" s="7"/>
      <c r="F104" s="7"/>
    </row>
    <row r="105" spans="3:6" x14ac:dyDescent="0.25">
      <c r="C105" s="7"/>
      <c r="D105" s="7"/>
      <c r="E105" s="7"/>
      <c r="F105" s="7"/>
    </row>
    <row r="106" spans="3:6" x14ac:dyDescent="0.25">
      <c r="C106" s="7"/>
      <c r="D106" s="7"/>
      <c r="E106" s="7"/>
      <c r="F106" s="7"/>
    </row>
    <row r="107" spans="3:6" x14ac:dyDescent="0.25">
      <c r="C107" s="7"/>
      <c r="D107" s="7"/>
      <c r="E107" s="7"/>
      <c r="F107" s="7"/>
    </row>
    <row r="108" spans="3:6" x14ac:dyDescent="0.25">
      <c r="C108" s="7"/>
      <c r="D108" s="7"/>
      <c r="E108" s="7"/>
      <c r="F108" s="7"/>
    </row>
    <row r="109" spans="3:6" x14ac:dyDescent="0.25">
      <c r="C109" s="7"/>
      <c r="D109" s="7"/>
      <c r="E109" s="7"/>
      <c r="F109" s="7"/>
    </row>
    <row r="110" spans="3:6" x14ac:dyDescent="0.25">
      <c r="C110" s="7"/>
      <c r="D110" s="7"/>
      <c r="E110" s="7"/>
      <c r="F110" s="7"/>
    </row>
    <row r="111" spans="3:6" x14ac:dyDescent="0.25">
      <c r="C111" s="7"/>
      <c r="D111" s="7"/>
      <c r="E111" s="7"/>
      <c r="F111" s="7"/>
    </row>
    <row r="112" spans="3:6" x14ac:dyDescent="0.25">
      <c r="C112" s="7"/>
      <c r="D112" s="7"/>
      <c r="E112" s="7"/>
      <c r="F112" s="7"/>
    </row>
    <row r="113" spans="3:6" x14ac:dyDescent="0.25">
      <c r="C113" s="7"/>
      <c r="D113" s="7"/>
      <c r="E113" s="7"/>
      <c r="F113" s="7"/>
    </row>
    <row r="114" spans="3:6" x14ac:dyDescent="0.25">
      <c r="C114" s="7"/>
      <c r="D114" s="7"/>
      <c r="E114" s="7"/>
      <c r="F114" s="7"/>
    </row>
    <row r="115" spans="3:6" x14ac:dyDescent="0.25">
      <c r="C115" s="7"/>
      <c r="D115" s="7"/>
      <c r="E115" s="7"/>
      <c r="F115" s="7"/>
    </row>
    <row r="116" spans="3:6" x14ac:dyDescent="0.25">
      <c r="C116" s="7"/>
      <c r="D116" s="7"/>
      <c r="E116" s="7"/>
      <c r="F116" s="7"/>
    </row>
    <row r="117" spans="3:6" x14ac:dyDescent="0.25">
      <c r="C117" s="7"/>
      <c r="D117" s="7"/>
      <c r="E117" s="7"/>
      <c r="F117" s="7"/>
    </row>
    <row r="118" spans="3:6" x14ac:dyDescent="0.25">
      <c r="C118" s="7"/>
      <c r="D118" s="7"/>
      <c r="E118" s="7"/>
      <c r="F118" s="7"/>
    </row>
    <row r="119" spans="3:6" x14ac:dyDescent="0.25">
      <c r="C119" s="7"/>
      <c r="D119" s="7"/>
      <c r="E119" s="7"/>
      <c r="F119" s="7"/>
    </row>
    <row r="120" spans="3:6" x14ac:dyDescent="0.25">
      <c r="C120" s="7"/>
      <c r="D120" s="7"/>
      <c r="E120" s="7"/>
      <c r="F120" s="7"/>
    </row>
    <row r="121" spans="3:6" x14ac:dyDescent="0.25">
      <c r="C121" s="7"/>
      <c r="D121" s="7"/>
      <c r="E121" s="7"/>
      <c r="F121" s="7"/>
    </row>
    <row r="122" spans="3:6" x14ac:dyDescent="0.25">
      <c r="C122" s="7"/>
      <c r="D122" s="7"/>
      <c r="E122" s="7"/>
      <c r="F122" s="7"/>
    </row>
    <row r="123" spans="3:6" x14ac:dyDescent="0.25">
      <c r="C123" s="7"/>
      <c r="D123" s="7"/>
      <c r="E123" s="7"/>
      <c r="F123" s="7"/>
    </row>
    <row r="124" spans="3:6" x14ac:dyDescent="0.25">
      <c r="C124" s="7"/>
      <c r="D124" s="7"/>
      <c r="E124" s="7"/>
      <c r="F124" s="7"/>
    </row>
    <row r="125" spans="3:6" x14ac:dyDescent="0.25">
      <c r="C125" s="7"/>
      <c r="D125" s="7"/>
      <c r="E125" s="7"/>
      <c r="F125" s="7"/>
    </row>
    <row r="126" spans="3:6" x14ac:dyDescent="0.25">
      <c r="C126" s="7"/>
      <c r="D126" s="7"/>
      <c r="E126" s="7"/>
      <c r="F126" s="7"/>
    </row>
    <row r="127" spans="3:6" x14ac:dyDescent="0.25">
      <c r="C127" s="7"/>
      <c r="D127" s="7"/>
      <c r="E127" s="7"/>
      <c r="F127" s="7"/>
    </row>
    <row r="128" spans="3:6" x14ac:dyDescent="0.25">
      <c r="C128" s="7"/>
      <c r="D128" s="7"/>
      <c r="E128" s="7"/>
      <c r="F128" s="7"/>
    </row>
    <row r="129" spans="3:6" x14ac:dyDescent="0.25">
      <c r="C129" s="7"/>
      <c r="D129" s="7"/>
      <c r="E129" s="7"/>
      <c r="F129" s="7"/>
    </row>
    <row r="130" spans="3:6" x14ac:dyDescent="0.25">
      <c r="C130" s="7"/>
      <c r="D130" s="7"/>
      <c r="E130" s="7"/>
      <c r="F130" s="7"/>
    </row>
    <row r="131" spans="3:6" x14ac:dyDescent="0.25">
      <c r="C131" s="7"/>
      <c r="D131" s="7"/>
      <c r="E131" s="7"/>
      <c r="F131" s="7"/>
    </row>
    <row r="132" spans="3:6" x14ac:dyDescent="0.25">
      <c r="C132" s="7"/>
      <c r="D132" s="7"/>
      <c r="E132" s="7"/>
      <c r="F132" s="7"/>
    </row>
    <row r="133" spans="3:6" x14ac:dyDescent="0.25">
      <c r="C133" s="7"/>
      <c r="D133" s="7"/>
      <c r="E133" s="7"/>
      <c r="F133" s="7"/>
    </row>
    <row r="134" spans="3:6" x14ac:dyDescent="0.25">
      <c r="C134" s="7"/>
      <c r="D134" s="7"/>
      <c r="E134" s="7"/>
      <c r="F134" s="7"/>
    </row>
    <row r="135" spans="3:6" x14ac:dyDescent="0.25">
      <c r="C135" s="7"/>
      <c r="D135" s="7"/>
      <c r="E135" s="7"/>
      <c r="F135" s="7"/>
    </row>
    <row r="136" spans="3:6" x14ac:dyDescent="0.25">
      <c r="C136" s="7"/>
      <c r="D136" s="7"/>
      <c r="E136" s="7"/>
      <c r="F136" s="7"/>
    </row>
    <row r="137" spans="3:6" x14ac:dyDescent="0.25">
      <c r="C137" s="7"/>
      <c r="D137" s="7"/>
      <c r="E137" s="7"/>
      <c r="F137" s="7"/>
    </row>
    <row r="138" spans="3:6" x14ac:dyDescent="0.25">
      <c r="C138" s="7"/>
      <c r="D138" s="7"/>
      <c r="E138" s="7"/>
      <c r="F138" s="7"/>
    </row>
    <row r="139" spans="3:6" x14ac:dyDescent="0.25">
      <c r="C139" s="7"/>
      <c r="D139" s="7"/>
      <c r="E139" s="7"/>
      <c r="F139" s="7"/>
    </row>
    <row r="140" spans="3:6" x14ac:dyDescent="0.25">
      <c r="C140" s="7"/>
      <c r="D140" s="7"/>
      <c r="E140" s="7"/>
      <c r="F140" s="7"/>
    </row>
    <row r="141" spans="3:6" x14ac:dyDescent="0.25">
      <c r="C141" s="7"/>
      <c r="D141" s="7"/>
      <c r="E141" s="7"/>
      <c r="F141" s="7"/>
    </row>
    <row r="142" spans="3:6" x14ac:dyDescent="0.25">
      <c r="C142" s="7"/>
      <c r="D142" s="7"/>
      <c r="E142" s="7"/>
      <c r="F142" s="7"/>
    </row>
    <row r="143" spans="3:6" x14ac:dyDescent="0.25">
      <c r="C143" s="7"/>
      <c r="D143" s="7"/>
      <c r="E143" s="7"/>
      <c r="F143" s="7"/>
    </row>
    <row r="144" spans="3:6" x14ac:dyDescent="0.25">
      <c r="C144" s="7"/>
      <c r="D144" s="7"/>
      <c r="E144" s="7"/>
      <c r="F144" s="7"/>
    </row>
    <row r="145" spans="3:6" x14ac:dyDescent="0.25">
      <c r="C145" s="7"/>
      <c r="D145" s="7"/>
      <c r="E145" s="7"/>
      <c r="F145" s="7"/>
    </row>
    <row r="146" spans="3:6" x14ac:dyDescent="0.25">
      <c r="C146" s="7"/>
      <c r="D146" s="7"/>
      <c r="E146" s="7"/>
      <c r="F146" s="7"/>
    </row>
    <row r="147" spans="3:6" x14ac:dyDescent="0.25">
      <c r="C147" s="7"/>
      <c r="D147" s="7"/>
      <c r="E147" s="7"/>
      <c r="F147" s="7"/>
    </row>
    <row r="148" spans="3:6" x14ac:dyDescent="0.25">
      <c r="C148" s="7"/>
      <c r="D148" s="7"/>
      <c r="E148" s="7"/>
      <c r="F148" s="7"/>
    </row>
    <row r="149" spans="3:6" x14ac:dyDescent="0.25">
      <c r="C149" s="7"/>
      <c r="D149" s="7"/>
      <c r="E149" s="7"/>
      <c r="F149" s="7"/>
    </row>
    <row r="150" spans="3:6" x14ac:dyDescent="0.25">
      <c r="C150" s="7"/>
      <c r="D150" s="7"/>
      <c r="E150" s="7"/>
      <c r="F150" s="7"/>
    </row>
    <row r="151" spans="3:6" x14ac:dyDescent="0.25">
      <c r="C151" s="7"/>
      <c r="D151" s="7"/>
      <c r="E151" s="7"/>
      <c r="F151" s="7"/>
    </row>
    <row r="152" spans="3:6" x14ac:dyDescent="0.25">
      <c r="C152" s="7"/>
      <c r="D152" s="7"/>
      <c r="E152" s="7"/>
      <c r="F152" s="7"/>
    </row>
    <row r="153" spans="3:6" x14ac:dyDescent="0.25">
      <c r="C153" s="7"/>
      <c r="D153" s="7"/>
      <c r="E153" s="7"/>
      <c r="F153" s="7"/>
    </row>
    <row r="154" spans="3:6" x14ac:dyDescent="0.25">
      <c r="C154" s="7"/>
      <c r="D154" s="7"/>
      <c r="E154" s="7"/>
      <c r="F154" s="7"/>
    </row>
    <row r="155" spans="3:6" x14ac:dyDescent="0.25">
      <c r="C155" s="7"/>
      <c r="D155" s="7"/>
      <c r="E155" s="7"/>
      <c r="F155" s="7"/>
    </row>
    <row r="156" spans="3:6" x14ac:dyDescent="0.25">
      <c r="C156" s="7"/>
      <c r="D156" s="7"/>
      <c r="E156" s="7"/>
      <c r="F156" s="7"/>
    </row>
    <row r="157" spans="3:6" x14ac:dyDescent="0.25">
      <c r="C157" s="7"/>
      <c r="D157" s="7"/>
      <c r="E157" s="7"/>
      <c r="F157" s="7"/>
    </row>
    <row r="158" spans="3:6" x14ac:dyDescent="0.25">
      <c r="C158" s="7"/>
      <c r="D158" s="7"/>
      <c r="E158" s="7"/>
      <c r="F158" s="7"/>
    </row>
    <row r="159" spans="3:6" x14ac:dyDescent="0.25">
      <c r="C159" s="7"/>
      <c r="D159" s="7"/>
      <c r="E159" s="7"/>
      <c r="F159" s="7"/>
    </row>
    <row r="160" spans="3:6" x14ac:dyDescent="0.25">
      <c r="C160" s="7"/>
      <c r="D160" s="7"/>
      <c r="E160" s="7"/>
      <c r="F160" s="7"/>
    </row>
    <row r="161" spans="3:6" x14ac:dyDescent="0.25">
      <c r="C161" s="7"/>
      <c r="D161" s="7"/>
      <c r="E161" s="7"/>
      <c r="F161" s="7"/>
    </row>
    <row r="162" spans="3:6" x14ac:dyDescent="0.25">
      <c r="C162" s="7"/>
      <c r="D162" s="7"/>
      <c r="E162" s="7"/>
      <c r="F162" s="7"/>
    </row>
    <row r="163" spans="3:6" x14ac:dyDescent="0.25">
      <c r="C163" s="7"/>
      <c r="D163" s="7"/>
      <c r="E163" s="7"/>
      <c r="F163" s="7"/>
    </row>
    <row r="164" spans="3:6" x14ac:dyDescent="0.25">
      <c r="C164" s="7"/>
      <c r="D164" s="7"/>
      <c r="E164" s="7"/>
      <c r="F164" s="7"/>
    </row>
    <row r="165" spans="3:6" x14ac:dyDescent="0.25">
      <c r="C165" s="7"/>
      <c r="D165" s="7"/>
      <c r="E165" s="7"/>
      <c r="F165" s="7"/>
    </row>
    <row r="166" spans="3:6" x14ac:dyDescent="0.25">
      <c r="C166" s="7"/>
      <c r="D166" s="7"/>
      <c r="E166" s="7"/>
      <c r="F166" s="7"/>
    </row>
    <row r="167" spans="3:6" x14ac:dyDescent="0.25">
      <c r="C167" s="7"/>
      <c r="D167" s="7"/>
      <c r="E167" s="7"/>
      <c r="F167" s="7"/>
    </row>
    <row r="168" spans="3:6" x14ac:dyDescent="0.25">
      <c r="C168" s="7"/>
      <c r="D168" s="7"/>
      <c r="E168" s="7"/>
      <c r="F168" s="7"/>
    </row>
    <row r="169" spans="3:6" x14ac:dyDescent="0.25">
      <c r="C169" s="7"/>
      <c r="D169" s="7"/>
      <c r="E169" s="7"/>
      <c r="F169" s="7"/>
    </row>
    <row r="170" spans="3:6" x14ac:dyDescent="0.25">
      <c r="C170" s="7"/>
      <c r="D170" s="7"/>
      <c r="E170" s="7"/>
      <c r="F170" s="7"/>
    </row>
    <row r="171" spans="3:6" x14ac:dyDescent="0.25">
      <c r="C171" s="7"/>
      <c r="D171" s="7"/>
      <c r="E171" s="7"/>
      <c r="F171" s="7"/>
    </row>
    <row r="172" spans="3:6" x14ac:dyDescent="0.25">
      <c r="C172" s="7"/>
      <c r="D172" s="7"/>
      <c r="E172" s="7"/>
      <c r="F172" s="7"/>
    </row>
    <row r="173" spans="3:6" x14ac:dyDescent="0.25">
      <c r="C173" s="7"/>
      <c r="D173" s="7"/>
      <c r="E173" s="7"/>
      <c r="F173" s="7"/>
    </row>
    <row r="174" spans="3:6" x14ac:dyDescent="0.25">
      <c r="C174" s="7"/>
      <c r="D174" s="7"/>
      <c r="E174" s="7"/>
      <c r="F174" s="7"/>
    </row>
    <row r="175" spans="3:6" x14ac:dyDescent="0.25">
      <c r="C175" s="7"/>
      <c r="D175" s="7"/>
      <c r="E175" s="7"/>
      <c r="F175" s="7"/>
    </row>
    <row r="176" spans="3:6" x14ac:dyDescent="0.25">
      <c r="C176" s="7"/>
      <c r="D176" s="7"/>
      <c r="E176" s="7"/>
      <c r="F176" s="7"/>
    </row>
    <row r="177" spans="3:6" x14ac:dyDescent="0.25">
      <c r="C177" s="7"/>
      <c r="D177" s="7"/>
      <c r="E177" s="7"/>
      <c r="F177" s="7"/>
    </row>
    <row r="178" spans="3:6" x14ac:dyDescent="0.25">
      <c r="C178" s="7"/>
      <c r="D178" s="7"/>
      <c r="E178" s="7"/>
      <c r="F178" s="7"/>
    </row>
    <row r="179" spans="3:6" x14ac:dyDescent="0.25">
      <c r="C179" s="7"/>
      <c r="D179" s="7"/>
      <c r="E179" s="7"/>
      <c r="F179" s="7"/>
    </row>
    <row r="180" spans="3:6" x14ac:dyDescent="0.25">
      <c r="C180" s="7"/>
      <c r="D180" s="7"/>
      <c r="E180" s="7"/>
      <c r="F180" s="7"/>
    </row>
    <row r="181" spans="3:6" x14ac:dyDescent="0.25">
      <c r="C181" s="7"/>
      <c r="D181" s="7"/>
      <c r="E181" s="7"/>
      <c r="F181" s="7"/>
    </row>
    <row r="182" spans="3:6" x14ac:dyDescent="0.25">
      <c r="C182" s="7"/>
      <c r="D182" s="7"/>
      <c r="E182" s="7"/>
      <c r="F182" s="7"/>
    </row>
    <row r="183" spans="3:6" x14ac:dyDescent="0.25">
      <c r="C183" s="7"/>
      <c r="D183" s="7"/>
      <c r="E183" s="7"/>
      <c r="F183" s="7"/>
    </row>
    <row r="184" spans="3:6" x14ac:dyDescent="0.25">
      <c r="C184" s="7"/>
      <c r="D184" s="7"/>
      <c r="E184" s="7"/>
      <c r="F184" s="7"/>
    </row>
    <row r="185" spans="3:6" x14ac:dyDescent="0.25">
      <c r="C185" s="7"/>
      <c r="D185" s="7"/>
      <c r="E185" s="7"/>
      <c r="F185" s="7"/>
    </row>
    <row r="186" spans="3:6" x14ac:dyDescent="0.25">
      <c r="C186" s="7"/>
      <c r="D186" s="7"/>
      <c r="E186" s="7"/>
      <c r="F186" s="7"/>
    </row>
    <row r="187" spans="3:6" x14ac:dyDescent="0.25">
      <c r="C187" s="7"/>
      <c r="D187" s="7"/>
      <c r="E187" s="7"/>
      <c r="F187" s="7"/>
    </row>
    <row r="188" spans="3:6" x14ac:dyDescent="0.25">
      <c r="C188" s="7"/>
      <c r="D188" s="7"/>
      <c r="E188" s="7"/>
      <c r="F188" s="7"/>
    </row>
    <row r="189" spans="3:6" x14ac:dyDescent="0.25">
      <c r="C189" s="7"/>
      <c r="D189" s="7"/>
      <c r="E189" s="7"/>
      <c r="F189" s="7"/>
    </row>
    <row r="190" spans="3:6" x14ac:dyDescent="0.25">
      <c r="C190" s="7"/>
      <c r="D190" s="7"/>
      <c r="E190" s="7"/>
      <c r="F190" s="7"/>
    </row>
    <row r="191" spans="3:6" x14ac:dyDescent="0.25">
      <c r="C191" s="7"/>
      <c r="D191" s="7"/>
      <c r="E191" s="7"/>
      <c r="F191" s="7"/>
    </row>
    <row r="192" spans="3:6" x14ac:dyDescent="0.25">
      <c r="C192" s="7"/>
      <c r="D192" s="7"/>
      <c r="E192" s="7"/>
      <c r="F192" s="7"/>
    </row>
    <row r="193" spans="3:6" x14ac:dyDescent="0.25">
      <c r="C193" s="7"/>
      <c r="D193" s="7"/>
      <c r="E193" s="7"/>
      <c r="F193" s="7"/>
    </row>
    <row r="194" spans="3:6" x14ac:dyDescent="0.25">
      <c r="C194" s="7"/>
      <c r="D194" s="7"/>
      <c r="E194" s="7"/>
      <c r="F194" s="7"/>
    </row>
    <row r="195" spans="3:6" x14ac:dyDescent="0.25">
      <c r="C195" s="7"/>
      <c r="D195" s="7"/>
      <c r="E195" s="7"/>
      <c r="F195" s="7"/>
    </row>
    <row r="196" spans="3:6" x14ac:dyDescent="0.25">
      <c r="C196" s="7"/>
      <c r="D196" s="7"/>
      <c r="E196" s="7"/>
      <c r="F196" s="7"/>
    </row>
    <row r="197" spans="3:6" x14ac:dyDescent="0.25">
      <c r="C197" s="7"/>
      <c r="D197" s="7"/>
      <c r="E197" s="7"/>
      <c r="F197" s="7"/>
    </row>
    <row r="198" spans="3:6" x14ac:dyDescent="0.25">
      <c r="C198" s="7"/>
      <c r="D198" s="7"/>
      <c r="E198" s="7"/>
      <c r="F198" s="7"/>
    </row>
    <row r="199" spans="3:6" x14ac:dyDescent="0.25">
      <c r="C199" s="7"/>
      <c r="D199" s="7"/>
      <c r="E199" s="7"/>
      <c r="F199" s="7"/>
    </row>
    <row r="200" spans="3:6" x14ac:dyDescent="0.25">
      <c r="C200" s="7"/>
      <c r="D200" s="7"/>
      <c r="E200" s="7"/>
      <c r="F200" s="7"/>
    </row>
    <row r="201" spans="3:6" x14ac:dyDescent="0.25">
      <c r="C201" s="7"/>
      <c r="D201" s="7"/>
      <c r="E201" s="7"/>
      <c r="F201" s="7"/>
    </row>
    <row r="202" spans="3:6" x14ac:dyDescent="0.25">
      <c r="C202" s="7"/>
      <c r="D202" s="7"/>
      <c r="E202" s="7"/>
      <c r="F202" s="7"/>
    </row>
    <row r="203" spans="3:6" x14ac:dyDescent="0.25">
      <c r="C203" s="7"/>
      <c r="D203" s="7"/>
      <c r="E203" s="7"/>
      <c r="F203" s="7"/>
    </row>
    <row r="204" spans="3:6" x14ac:dyDescent="0.25">
      <c r="C204" s="7"/>
      <c r="D204" s="7"/>
      <c r="E204" s="7"/>
      <c r="F204" s="7"/>
    </row>
    <row r="205" spans="3:6" x14ac:dyDescent="0.25">
      <c r="C205" s="7"/>
      <c r="D205" s="7"/>
      <c r="E205" s="7"/>
      <c r="F205" s="7"/>
    </row>
    <row r="206" spans="3:6" x14ac:dyDescent="0.25">
      <c r="C206" s="7"/>
      <c r="D206" s="7"/>
      <c r="E206" s="7"/>
      <c r="F206" s="7"/>
    </row>
    <row r="207" spans="3:6" x14ac:dyDescent="0.25">
      <c r="C207" s="7"/>
      <c r="D207" s="7"/>
      <c r="E207" s="7"/>
      <c r="F207" s="7"/>
    </row>
    <row r="208" spans="3:6" x14ac:dyDescent="0.25">
      <c r="C208" s="7"/>
      <c r="D208" s="7"/>
      <c r="E208" s="7"/>
      <c r="F208" s="7"/>
    </row>
    <row r="209" spans="3:6" x14ac:dyDescent="0.25">
      <c r="C209" s="7"/>
      <c r="D209" s="7"/>
      <c r="E209" s="7"/>
      <c r="F209" s="7"/>
    </row>
    <row r="210" spans="3:6" x14ac:dyDescent="0.25">
      <c r="C210" s="7"/>
      <c r="D210" s="7"/>
      <c r="E210" s="7"/>
      <c r="F210" s="7"/>
    </row>
    <row r="211" spans="3:6" x14ac:dyDescent="0.25">
      <c r="C211" s="7"/>
      <c r="D211" s="7"/>
      <c r="E211" s="7"/>
      <c r="F211" s="7"/>
    </row>
    <row r="212" spans="3:6" x14ac:dyDescent="0.25">
      <c r="C212" s="7"/>
      <c r="D212" s="7"/>
      <c r="E212" s="7"/>
      <c r="F212" s="7"/>
    </row>
    <row r="213" spans="3:6" x14ac:dyDescent="0.25">
      <c r="C213" s="7"/>
      <c r="D213" s="7"/>
      <c r="E213" s="7"/>
      <c r="F213" s="7"/>
    </row>
    <row r="214" spans="3:6" x14ac:dyDescent="0.25">
      <c r="C214" s="7"/>
      <c r="D214" s="7"/>
      <c r="E214" s="7"/>
      <c r="F214" s="7"/>
    </row>
    <row r="215" spans="3:6" x14ac:dyDescent="0.25">
      <c r="C215" s="7"/>
      <c r="D215" s="7"/>
      <c r="E215" s="7"/>
      <c r="F215" s="7"/>
    </row>
    <row r="216" spans="3:6" x14ac:dyDescent="0.25">
      <c r="C216" s="7"/>
      <c r="D216" s="7"/>
      <c r="E216" s="7"/>
      <c r="F216" s="7"/>
    </row>
    <row r="217" spans="3:6" x14ac:dyDescent="0.25">
      <c r="C217" s="7"/>
      <c r="D217" s="7"/>
      <c r="E217" s="7"/>
      <c r="F217" s="7"/>
    </row>
    <row r="218" spans="3:6" x14ac:dyDescent="0.25">
      <c r="C218" s="7"/>
      <c r="D218" s="7"/>
      <c r="E218" s="7"/>
      <c r="F218" s="7"/>
    </row>
    <row r="219" spans="3:6" x14ac:dyDescent="0.25">
      <c r="C219" s="7"/>
      <c r="D219" s="7"/>
      <c r="E219" s="7"/>
      <c r="F219" s="7"/>
    </row>
    <row r="220" spans="3:6" x14ac:dyDescent="0.25">
      <c r="C220" s="7"/>
      <c r="D220" s="7"/>
      <c r="E220" s="7"/>
      <c r="F220" s="7"/>
    </row>
    <row r="221" spans="3:6" x14ac:dyDescent="0.25">
      <c r="C221" s="7"/>
      <c r="D221" s="7"/>
      <c r="E221" s="7"/>
      <c r="F221" s="7"/>
    </row>
    <row r="222" spans="3:6" x14ac:dyDescent="0.25">
      <c r="C222" s="7"/>
      <c r="D222" s="7"/>
      <c r="E222" s="7"/>
      <c r="F222" s="7"/>
    </row>
    <row r="223" spans="3:6" x14ac:dyDescent="0.25">
      <c r="C223" s="7"/>
      <c r="D223" s="7"/>
      <c r="E223" s="7"/>
      <c r="F223" s="7"/>
    </row>
    <row r="224" spans="3:6" x14ac:dyDescent="0.25">
      <c r="C224" s="7"/>
      <c r="D224" s="7"/>
      <c r="E224" s="7"/>
      <c r="F224" s="7"/>
    </row>
    <row r="225" spans="3:6" x14ac:dyDescent="0.25">
      <c r="C225" s="7"/>
      <c r="D225" s="7"/>
      <c r="E225" s="7"/>
      <c r="F225" s="7"/>
    </row>
    <row r="226" spans="3:6" x14ac:dyDescent="0.25">
      <c r="C226" s="7"/>
      <c r="D226" s="7"/>
      <c r="E226" s="7"/>
      <c r="F226" s="7"/>
    </row>
    <row r="227" spans="3:6" x14ac:dyDescent="0.25">
      <c r="C227" s="7"/>
      <c r="D227" s="7"/>
      <c r="E227" s="7"/>
      <c r="F227" s="7"/>
    </row>
    <row r="228" spans="3:6" x14ac:dyDescent="0.25">
      <c r="C228" s="7"/>
      <c r="D228" s="7"/>
      <c r="E228" s="7"/>
      <c r="F228" s="7"/>
    </row>
    <row r="229" spans="3:6" x14ac:dyDescent="0.25">
      <c r="C229" s="7"/>
      <c r="D229" s="7"/>
      <c r="E229" s="7"/>
      <c r="F229" s="7"/>
    </row>
    <row r="230" spans="3:6" x14ac:dyDescent="0.25">
      <c r="C230" s="7"/>
      <c r="D230" s="7"/>
      <c r="E230" s="7"/>
      <c r="F230" s="7"/>
    </row>
    <row r="231" spans="3:6" x14ac:dyDescent="0.25">
      <c r="C231" s="7"/>
      <c r="D231" s="7"/>
      <c r="E231" s="7"/>
      <c r="F231" s="7"/>
    </row>
    <row r="232" spans="3:6" x14ac:dyDescent="0.25">
      <c r="C232" s="7"/>
      <c r="D232" s="7"/>
      <c r="E232" s="7"/>
      <c r="F232" s="7"/>
    </row>
    <row r="233" spans="3:6" x14ac:dyDescent="0.25">
      <c r="C233" s="7"/>
      <c r="D233" s="7"/>
      <c r="E233" s="7"/>
      <c r="F233" s="7"/>
    </row>
  </sheetData>
  <sheetProtection algorithmName="SHA-512" hashValue="a9QX3poebwsKWzxObZgBPYJcsGyV3V1UkjlK0R9g6V1wAhPD5J0+kYYQu74VwpkDUzvXb/fvAzhRf8KLFw+iaQ==" saltValue="32BREjG8VAI0f4x1alZXHg==" spinCount="100000" sheet="1" formatCells="0" formatColumns="0" formatRows="0" insertColumns="0" insertRows="0" insertHyperlinks="0" deleteColumns="0" deleteRows="0" sort="0" autoFilter="0" pivotTables="0"/>
  <mergeCells count="29">
    <mergeCell ref="B29:C29"/>
    <mergeCell ref="B30:C30"/>
    <mergeCell ref="B19:C19"/>
    <mergeCell ref="B20:C20"/>
    <mergeCell ref="B21:C21"/>
    <mergeCell ref="B22:C22"/>
    <mergeCell ref="B23:C23"/>
    <mergeCell ref="B24:C24"/>
    <mergeCell ref="A1:F1"/>
    <mergeCell ref="B25:C25"/>
    <mergeCell ref="B26:C26"/>
    <mergeCell ref="B27:C27"/>
    <mergeCell ref="B28:C28"/>
    <mergeCell ref="B13:C13"/>
    <mergeCell ref="B14:C14"/>
    <mergeCell ref="B15:C15"/>
    <mergeCell ref="B16:C16"/>
    <mergeCell ref="B17:C17"/>
    <mergeCell ref="B18:C18"/>
    <mergeCell ref="D6:E6"/>
    <mergeCell ref="D7:E7"/>
    <mergeCell ref="D8:E8"/>
    <mergeCell ref="B11:C11"/>
    <mergeCell ref="B12:C12"/>
    <mergeCell ref="B31:C31"/>
    <mergeCell ref="C33:D33"/>
    <mergeCell ref="E33:F33"/>
    <mergeCell ref="C34:D34"/>
    <mergeCell ref="E34:F3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F0EB6-4923-47F8-9378-4276DDB855FF}">
  <sheetPr codeName="Sheet10"/>
  <dimension ref="A1:J233"/>
  <sheetViews>
    <sheetView showGridLines="0" topLeftCell="A7" workbookViewId="0">
      <selection activeCell="E18" sqref="E18"/>
    </sheetView>
  </sheetViews>
  <sheetFormatPr defaultRowHeight="13.8" x14ac:dyDescent="0.25"/>
  <cols>
    <col min="1" max="1" width="4.69921875" style="6" customWidth="1"/>
    <col min="2" max="2" width="20.69921875" style="6" customWidth="1"/>
    <col min="3" max="3" width="20.69921875" customWidth="1"/>
    <col min="4" max="4" width="7.69921875" customWidth="1"/>
    <col min="5" max="6" width="15.296875" customWidth="1"/>
    <col min="9" max="9" width="13.296875" customWidth="1"/>
  </cols>
  <sheetData>
    <row r="1" spans="1:10" ht="18" x14ac:dyDescent="0.25">
      <c r="A1" s="126" t="s">
        <v>79</v>
      </c>
      <c r="B1" s="127"/>
      <c r="C1" s="127"/>
      <c r="D1" s="127"/>
      <c r="E1" s="127"/>
      <c r="F1" s="128"/>
    </row>
    <row r="2" spans="1:10" x14ac:dyDescent="0.25">
      <c r="A2" s="15"/>
      <c r="B2" s="63" t="s">
        <v>45</v>
      </c>
      <c r="C2" s="16"/>
      <c r="D2" s="16"/>
      <c r="E2" s="62" t="s">
        <v>80</v>
      </c>
      <c r="F2" s="21"/>
    </row>
    <row r="3" spans="1:10" x14ac:dyDescent="0.25">
      <c r="A3" s="15"/>
      <c r="B3" s="63" t="s">
        <v>33</v>
      </c>
      <c r="C3" s="16"/>
      <c r="E3" s="62" t="s">
        <v>34</v>
      </c>
      <c r="F3" s="50"/>
    </row>
    <row r="4" spans="1:10" ht="15.6" x14ac:dyDescent="0.3">
      <c r="A4" s="15"/>
      <c r="B4" s="63" t="s">
        <v>35</v>
      </c>
      <c r="C4" s="16"/>
      <c r="D4" s="17"/>
      <c r="E4" s="62" t="s">
        <v>37</v>
      </c>
      <c r="F4" s="51"/>
    </row>
    <row r="5" spans="1:10" ht="15.6" x14ac:dyDescent="0.3">
      <c r="A5" s="15"/>
      <c r="B5" s="16"/>
      <c r="C5" s="16"/>
      <c r="D5" s="1"/>
      <c r="E5" s="17"/>
      <c r="F5" s="18"/>
    </row>
    <row r="6" spans="1:10" ht="15.6" x14ac:dyDescent="0.3">
      <c r="A6" s="15"/>
      <c r="B6" s="63" t="s">
        <v>55</v>
      </c>
      <c r="C6" s="16"/>
      <c r="D6" s="144"/>
      <c r="E6" s="144"/>
      <c r="F6" s="18"/>
    </row>
    <row r="7" spans="1:10" ht="15.6" x14ac:dyDescent="0.3">
      <c r="A7" s="15"/>
      <c r="B7" s="63" t="s">
        <v>50</v>
      </c>
      <c r="C7" s="16"/>
      <c r="D7" s="145"/>
      <c r="E7" s="145"/>
      <c r="F7" s="18"/>
    </row>
    <row r="8" spans="1:10" ht="15.6" x14ac:dyDescent="0.3">
      <c r="A8" s="15"/>
      <c r="B8" s="63" t="s">
        <v>69</v>
      </c>
      <c r="C8" s="16"/>
      <c r="D8" s="146" t="s">
        <v>84</v>
      </c>
      <c r="E8" s="146"/>
      <c r="F8" s="19"/>
    </row>
    <row r="9" spans="1:10" x14ac:dyDescent="0.25">
      <c r="A9" s="15"/>
      <c r="F9" s="20"/>
    </row>
    <row r="10" spans="1:10" x14ac:dyDescent="0.25">
      <c r="A10" s="15"/>
      <c r="F10" s="20"/>
    </row>
    <row r="11" spans="1:10" x14ac:dyDescent="0.25">
      <c r="A11" s="10" t="s">
        <v>64</v>
      </c>
      <c r="B11" s="147" t="s">
        <v>46</v>
      </c>
      <c r="C11" s="148"/>
      <c r="D11" s="11" t="s">
        <v>47</v>
      </c>
      <c r="E11" s="11" t="s">
        <v>49</v>
      </c>
      <c r="F11" s="11" t="s">
        <v>48</v>
      </c>
      <c r="I11" s="55" t="s">
        <v>88</v>
      </c>
      <c r="J11" s="53">
        <v>1</v>
      </c>
    </row>
    <row r="12" spans="1:10" x14ac:dyDescent="0.25">
      <c r="A12" s="10">
        <v>1</v>
      </c>
      <c r="B12" s="140" t="s">
        <v>51</v>
      </c>
      <c r="C12" s="141"/>
      <c r="D12" s="105">
        <v>0</v>
      </c>
      <c r="E12" s="57">
        <v>0</v>
      </c>
      <c r="F12" s="14">
        <f t="shared" ref="F12:F31" si="0">D12*E12</f>
        <v>0</v>
      </c>
      <c r="I12" s="56" t="s">
        <v>87</v>
      </c>
      <c r="J12" s="54">
        <v>1</v>
      </c>
    </row>
    <row r="13" spans="1:10" x14ac:dyDescent="0.25">
      <c r="A13" s="10">
        <v>2</v>
      </c>
      <c r="B13" s="140" t="s">
        <v>52</v>
      </c>
      <c r="C13" s="141" t="s">
        <v>52</v>
      </c>
      <c r="D13" s="106">
        <v>0.05</v>
      </c>
      <c r="E13" s="52">
        <f>D12*E12</f>
        <v>0</v>
      </c>
      <c r="F13" s="14">
        <f t="shared" si="0"/>
        <v>0</v>
      </c>
      <c r="I13" s="55" t="s">
        <v>86</v>
      </c>
      <c r="J13" s="28">
        <v>1</v>
      </c>
    </row>
    <row r="14" spans="1:10" x14ac:dyDescent="0.25">
      <c r="A14" s="10">
        <v>3</v>
      </c>
      <c r="B14" s="140" t="s">
        <v>54</v>
      </c>
      <c r="C14" s="141" t="s">
        <v>54</v>
      </c>
      <c r="D14" s="106">
        <v>0.05</v>
      </c>
      <c r="E14" s="52">
        <f>D12*E12</f>
        <v>0</v>
      </c>
      <c r="F14" s="14">
        <f>D14*E14</f>
        <v>0</v>
      </c>
    </row>
    <row r="15" spans="1:10" x14ac:dyDescent="0.25">
      <c r="A15" s="10">
        <v>4</v>
      </c>
      <c r="B15" s="140" t="s">
        <v>56</v>
      </c>
      <c r="C15" s="141" t="s">
        <v>56</v>
      </c>
      <c r="D15" s="106">
        <v>0.05</v>
      </c>
      <c r="E15" s="52">
        <f>F12+F13</f>
        <v>0</v>
      </c>
      <c r="F15" s="14">
        <f t="shared" si="0"/>
        <v>0</v>
      </c>
    </row>
    <row r="16" spans="1:10" x14ac:dyDescent="0.25">
      <c r="A16" s="10">
        <v>5</v>
      </c>
      <c r="B16" s="140" t="s">
        <v>53</v>
      </c>
      <c r="C16" s="141" t="s">
        <v>53</v>
      </c>
      <c r="D16" s="105">
        <f>D12</f>
        <v>0</v>
      </c>
      <c r="E16" s="57"/>
      <c r="F16" s="14">
        <f t="shared" si="0"/>
        <v>0</v>
      </c>
    </row>
    <row r="17" spans="1:6" x14ac:dyDescent="0.25">
      <c r="A17" s="10">
        <v>6</v>
      </c>
      <c r="B17" s="140" t="s">
        <v>72</v>
      </c>
      <c r="C17" s="141" t="s">
        <v>72</v>
      </c>
      <c r="D17" s="105">
        <f>D12</f>
        <v>0</v>
      </c>
      <c r="E17" s="57"/>
      <c r="F17" s="14">
        <f t="shared" si="0"/>
        <v>0</v>
      </c>
    </row>
    <row r="18" spans="1:6" x14ac:dyDescent="0.25">
      <c r="A18" s="10">
        <v>7</v>
      </c>
      <c r="B18" s="140" t="s">
        <v>71</v>
      </c>
      <c r="C18" s="141" t="s">
        <v>71</v>
      </c>
      <c r="D18" s="105">
        <v>0</v>
      </c>
      <c r="E18" s="57"/>
      <c r="F18" s="14">
        <f t="shared" si="0"/>
        <v>0</v>
      </c>
    </row>
    <row r="19" spans="1:6" x14ac:dyDescent="0.25">
      <c r="A19" s="10">
        <v>8</v>
      </c>
      <c r="B19" s="140" t="s">
        <v>25</v>
      </c>
      <c r="C19" s="141" t="s">
        <v>25</v>
      </c>
      <c r="D19" s="105">
        <f>D12</f>
        <v>0</v>
      </c>
      <c r="E19" s="57"/>
      <c r="F19" s="14">
        <f t="shared" si="0"/>
        <v>0</v>
      </c>
    </row>
    <row r="20" spans="1:6" x14ac:dyDescent="0.25">
      <c r="A20" s="10">
        <v>9</v>
      </c>
      <c r="B20" s="140" t="s">
        <v>60</v>
      </c>
      <c r="C20" s="141" t="s">
        <v>60</v>
      </c>
      <c r="D20" s="105">
        <f>D12</f>
        <v>0</v>
      </c>
      <c r="E20" s="57"/>
      <c r="F20" s="14">
        <f t="shared" si="0"/>
        <v>0</v>
      </c>
    </row>
    <row r="21" spans="1:6" x14ac:dyDescent="0.25">
      <c r="A21" s="10">
        <v>10</v>
      </c>
      <c r="B21" s="140" t="s">
        <v>59</v>
      </c>
      <c r="C21" s="141" t="s">
        <v>59</v>
      </c>
      <c r="D21" s="105">
        <f>D12</f>
        <v>0</v>
      </c>
      <c r="E21" s="57"/>
      <c r="F21" s="14">
        <f t="shared" si="0"/>
        <v>0</v>
      </c>
    </row>
    <row r="22" spans="1:6" x14ac:dyDescent="0.25">
      <c r="A22" s="10">
        <v>11</v>
      </c>
      <c r="B22" s="140" t="s">
        <v>65</v>
      </c>
      <c r="C22" s="141" t="s">
        <v>65</v>
      </c>
      <c r="D22" s="105">
        <f>D12</f>
        <v>0</v>
      </c>
      <c r="E22" s="57"/>
      <c r="F22" s="14">
        <f t="shared" si="0"/>
        <v>0</v>
      </c>
    </row>
    <row r="23" spans="1:6" x14ac:dyDescent="0.25">
      <c r="A23" s="10">
        <v>12</v>
      </c>
      <c r="B23" s="140" t="s">
        <v>66</v>
      </c>
      <c r="C23" s="141" t="s">
        <v>66</v>
      </c>
      <c r="D23" s="105">
        <f>D12</f>
        <v>0</v>
      </c>
      <c r="E23" s="57"/>
      <c r="F23" s="14">
        <f t="shared" si="0"/>
        <v>0</v>
      </c>
    </row>
    <row r="24" spans="1:6" x14ac:dyDescent="0.25">
      <c r="A24" s="10">
        <v>13</v>
      </c>
      <c r="B24" s="140" t="s">
        <v>73</v>
      </c>
      <c r="C24" s="141" t="s">
        <v>73</v>
      </c>
      <c r="D24" s="105">
        <f>D12</f>
        <v>0</v>
      </c>
      <c r="E24" s="57"/>
      <c r="F24" s="14">
        <f t="shared" si="0"/>
        <v>0</v>
      </c>
    </row>
    <row r="25" spans="1:6" x14ac:dyDescent="0.25">
      <c r="A25" s="10">
        <v>14</v>
      </c>
      <c r="B25" s="140" t="s">
        <v>67</v>
      </c>
      <c r="C25" s="141" t="s">
        <v>67</v>
      </c>
      <c r="D25" s="105">
        <f>D12</f>
        <v>0</v>
      </c>
      <c r="E25" s="57"/>
      <c r="F25" s="14">
        <f t="shared" si="0"/>
        <v>0</v>
      </c>
    </row>
    <row r="26" spans="1:6" x14ac:dyDescent="0.25">
      <c r="A26" s="10">
        <v>15</v>
      </c>
      <c r="B26" s="140" t="s">
        <v>57</v>
      </c>
      <c r="C26" s="141" t="s">
        <v>57</v>
      </c>
      <c r="D26" s="105">
        <f>D12</f>
        <v>0</v>
      </c>
      <c r="E26" s="57"/>
      <c r="F26" s="14">
        <f t="shared" si="0"/>
        <v>0</v>
      </c>
    </row>
    <row r="27" spans="1:6" x14ac:dyDescent="0.25">
      <c r="A27" s="10">
        <v>16</v>
      </c>
      <c r="B27" s="140" t="s">
        <v>58</v>
      </c>
      <c r="C27" s="141" t="s">
        <v>58</v>
      </c>
      <c r="D27" s="105">
        <f>D12</f>
        <v>0</v>
      </c>
      <c r="E27" s="57"/>
      <c r="F27" s="14">
        <f t="shared" si="0"/>
        <v>0</v>
      </c>
    </row>
    <row r="28" spans="1:6" x14ac:dyDescent="0.25">
      <c r="A28" s="10">
        <v>17</v>
      </c>
      <c r="B28" s="140" t="s">
        <v>61</v>
      </c>
      <c r="C28" s="141" t="s">
        <v>61</v>
      </c>
      <c r="D28" s="105">
        <f>D12</f>
        <v>0</v>
      </c>
      <c r="E28" s="57"/>
      <c r="F28" s="14">
        <f t="shared" si="0"/>
        <v>0</v>
      </c>
    </row>
    <row r="29" spans="1:6" x14ac:dyDescent="0.25">
      <c r="A29" s="10">
        <v>18</v>
      </c>
      <c r="B29" s="140" t="s">
        <v>62</v>
      </c>
      <c r="C29" s="141" t="s">
        <v>62</v>
      </c>
      <c r="D29" s="105">
        <f>D12</f>
        <v>0</v>
      </c>
      <c r="E29" s="57"/>
      <c r="F29" s="14">
        <f t="shared" si="0"/>
        <v>0</v>
      </c>
    </row>
    <row r="30" spans="1:6" x14ac:dyDescent="0.25">
      <c r="A30" s="10">
        <v>19</v>
      </c>
      <c r="B30" s="140" t="s">
        <v>63</v>
      </c>
      <c r="C30" s="141" t="s">
        <v>63</v>
      </c>
      <c r="D30" s="106">
        <v>0</v>
      </c>
      <c r="E30" s="60">
        <f>F12</f>
        <v>0</v>
      </c>
      <c r="F30" s="59">
        <f t="shared" si="0"/>
        <v>0</v>
      </c>
    </row>
    <row r="31" spans="1:6" x14ac:dyDescent="0.25">
      <c r="A31" s="10">
        <v>20</v>
      </c>
      <c r="B31" s="140" t="s">
        <v>70</v>
      </c>
      <c r="C31" s="141" t="s">
        <v>70</v>
      </c>
      <c r="D31" s="105">
        <v>0.01</v>
      </c>
      <c r="E31" s="61">
        <v>0</v>
      </c>
      <c r="F31" s="14">
        <f t="shared" si="0"/>
        <v>0</v>
      </c>
    </row>
    <row r="32" spans="1:6" ht="14.4" thickBot="1" x14ac:dyDescent="0.3">
      <c r="A32" s="15"/>
      <c r="D32" s="9"/>
      <c r="E32" s="13"/>
      <c r="F32" s="13"/>
    </row>
    <row r="33" spans="3:6" x14ac:dyDescent="0.25">
      <c r="C33" s="136" t="s">
        <v>89</v>
      </c>
      <c r="D33" s="137"/>
      <c r="E33" s="142">
        <f>SUM(F12:F31)</f>
        <v>0</v>
      </c>
      <c r="F33" s="143"/>
    </row>
    <row r="34" spans="3:6" ht="14.4" thickBot="1" x14ac:dyDescent="0.3">
      <c r="C34" s="138" t="s">
        <v>90</v>
      </c>
      <c r="D34" s="139"/>
      <c r="E34" s="134">
        <f>IF(E33&gt;0,E33/D12,0)</f>
        <v>0</v>
      </c>
      <c r="F34" s="135"/>
    </row>
    <row r="35" spans="3:6" x14ac:dyDescent="0.25">
      <c r="C35" s="7"/>
      <c r="D35" s="8"/>
      <c r="E35" s="6"/>
      <c r="F35" s="12"/>
    </row>
    <row r="36" spans="3:6" x14ac:dyDescent="0.25">
      <c r="C36" s="7"/>
      <c r="D36" s="8"/>
      <c r="E36" s="6"/>
      <c r="F36" s="6"/>
    </row>
    <row r="37" spans="3:6" x14ac:dyDescent="0.25">
      <c r="C37" s="7"/>
      <c r="D37" s="8"/>
      <c r="E37" s="6"/>
      <c r="F37" s="6"/>
    </row>
    <row r="38" spans="3:6" x14ac:dyDescent="0.25">
      <c r="C38" s="7"/>
      <c r="D38" s="8"/>
      <c r="E38" s="6"/>
      <c r="F38" s="6"/>
    </row>
    <row r="39" spans="3:6" x14ac:dyDescent="0.25">
      <c r="C39" s="7"/>
      <c r="D39" s="8"/>
      <c r="E39" s="6"/>
      <c r="F39" s="6"/>
    </row>
    <row r="40" spans="3:6" x14ac:dyDescent="0.25">
      <c r="C40" s="7"/>
      <c r="D40" s="8"/>
      <c r="E40" s="6"/>
      <c r="F40" s="6"/>
    </row>
    <row r="41" spans="3:6" x14ac:dyDescent="0.25">
      <c r="C41" s="7"/>
      <c r="D41" s="8"/>
      <c r="E41" s="6"/>
      <c r="F41" s="6"/>
    </row>
    <row r="42" spans="3:6" x14ac:dyDescent="0.25">
      <c r="C42" s="7"/>
      <c r="D42" s="8"/>
      <c r="E42" s="6"/>
      <c r="F42" s="6"/>
    </row>
    <row r="43" spans="3:6" x14ac:dyDescent="0.25">
      <c r="C43" s="7"/>
      <c r="D43" s="8"/>
      <c r="E43" s="6"/>
      <c r="F43" s="6"/>
    </row>
    <row r="44" spans="3:6" x14ac:dyDescent="0.25">
      <c r="C44" s="7"/>
      <c r="D44" s="8"/>
      <c r="E44" s="6"/>
      <c r="F44" s="6"/>
    </row>
    <row r="45" spans="3:6" x14ac:dyDescent="0.25">
      <c r="C45" s="7"/>
      <c r="D45" s="8"/>
      <c r="E45" s="6"/>
      <c r="F45" s="6"/>
    </row>
    <row r="46" spans="3:6" x14ac:dyDescent="0.25">
      <c r="C46" s="7"/>
      <c r="D46" s="8"/>
      <c r="E46" s="6"/>
      <c r="F46" s="6"/>
    </row>
    <row r="47" spans="3:6" x14ac:dyDescent="0.25">
      <c r="C47" s="7"/>
      <c r="D47" s="8"/>
      <c r="E47" s="6"/>
      <c r="F47" s="6"/>
    </row>
    <row r="48" spans="3:6" x14ac:dyDescent="0.25">
      <c r="C48" s="7"/>
      <c r="D48" s="8"/>
      <c r="E48" s="6"/>
      <c r="F48" s="6"/>
    </row>
    <row r="49" spans="3:6" x14ac:dyDescent="0.25">
      <c r="C49" s="7"/>
      <c r="D49" s="8"/>
      <c r="E49" s="6"/>
      <c r="F49" s="6"/>
    </row>
    <row r="50" spans="3:6" x14ac:dyDescent="0.25">
      <c r="C50" s="7"/>
      <c r="D50" s="8"/>
      <c r="E50" s="6"/>
      <c r="F50" s="6"/>
    </row>
    <row r="51" spans="3:6" x14ac:dyDescent="0.25">
      <c r="C51" s="7"/>
      <c r="D51" s="8"/>
      <c r="E51" s="6"/>
      <c r="F51" s="6"/>
    </row>
    <row r="52" spans="3:6" x14ac:dyDescent="0.25">
      <c r="C52" s="7"/>
      <c r="D52" s="8"/>
      <c r="E52" s="6"/>
      <c r="F52" s="6"/>
    </row>
    <row r="53" spans="3:6" x14ac:dyDescent="0.25">
      <c r="C53" s="7"/>
      <c r="D53" s="8"/>
      <c r="E53" s="6"/>
      <c r="F53" s="6"/>
    </row>
    <row r="54" spans="3:6" x14ac:dyDescent="0.25">
      <c r="C54" s="7"/>
      <c r="D54" s="8"/>
      <c r="E54" s="6"/>
      <c r="F54" s="6"/>
    </row>
    <row r="55" spans="3:6" x14ac:dyDescent="0.25">
      <c r="C55" s="7"/>
      <c r="D55" s="8"/>
      <c r="E55" s="6"/>
      <c r="F55" s="6"/>
    </row>
    <row r="56" spans="3:6" x14ac:dyDescent="0.25">
      <c r="C56" s="7"/>
      <c r="D56" s="8"/>
      <c r="E56" s="6"/>
      <c r="F56" s="6"/>
    </row>
    <row r="57" spans="3:6" x14ac:dyDescent="0.25">
      <c r="C57" s="7"/>
      <c r="D57" s="8"/>
      <c r="E57" s="6"/>
      <c r="F57" s="6"/>
    </row>
    <row r="58" spans="3:6" x14ac:dyDescent="0.25">
      <c r="C58" s="7"/>
      <c r="D58" s="8"/>
      <c r="E58" s="6"/>
      <c r="F58" s="6"/>
    </row>
    <row r="59" spans="3:6" x14ac:dyDescent="0.25">
      <c r="C59" s="7"/>
      <c r="D59" s="8"/>
      <c r="E59" s="6"/>
      <c r="F59" s="6"/>
    </row>
    <row r="60" spans="3:6" x14ac:dyDescent="0.25">
      <c r="C60" s="7"/>
      <c r="D60" s="8"/>
      <c r="E60" s="6"/>
      <c r="F60" s="6"/>
    </row>
    <row r="61" spans="3:6" x14ac:dyDescent="0.25">
      <c r="C61" s="7"/>
      <c r="D61" s="8"/>
      <c r="E61" s="6"/>
      <c r="F61" s="6"/>
    </row>
    <row r="62" spans="3:6" x14ac:dyDescent="0.25">
      <c r="C62" s="7"/>
      <c r="D62" s="8"/>
      <c r="E62" s="6"/>
      <c r="F62" s="6"/>
    </row>
    <row r="63" spans="3:6" x14ac:dyDescent="0.25">
      <c r="C63" s="7"/>
      <c r="D63" s="8"/>
      <c r="E63" s="6"/>
      <c r="F63" s="6"/>
    </row>
    <row r="64" spans="3:6" x14ac:dyDescent="0.25">
      <c r="C64" s="7"/>
      <c r="D64" s="8"/>
      <c r="E64" s="6"/>
      <c r="F64" s="6"/>
    </row>
    <row r="65" spans="3:6" x14ac:dyDescent="0.25">
      <c r="C65" s="7"/>
      <c r="D65" s="8"/>
      <c r="E65" s="6"/>
      <c r="F65" s="6"/>
    </row>
    <row r="66" spans="3:6" x14ac:dyDescent="0.25">
      <c r="C66" s="7"/>
      <c r="D66" s="6"/>
      <c r="E66" s="6"/>
      <c r="F66" s="6"/>
    </row>
    <row r="67" spans="3:6" x14ac:dyDescent="0.25">
      <c r="C67" s="7"/>
      <c r="D67" s="6"/>
      <c r="E67" s="6"/>
      <c r="F67" s="6"/>
    </row>
    <row r="68" spans="3:6" x14ac:dyDescent="0.25">
      <c r="C68" s="7"/>
      <c r="D68" s="6"/>
      <c r="E68" s="6"/>
      <c r="F68" s="6"/>
    </row>
    <row r="69" spans="3:6" x14ac:dyDescent="0.25">
      <c r="C69" s="7"/>
      <c r="D69" s="6"/>
      <c r="E69" s="6"/>
      <c r="F69" s="6"/>
    </row>
    <row r="70" spans="3:6" x14ac:dyDescent="0.25">
      <c r="C70" s="7"/>
      <c r="D70" s="6"/>
      <c r="E70" s="6"/>
      <c r="F70" s="6"/>
    </row>
    <row r="71" spans="3:6" x14ac:dyDescent="0.25">
      <c r="C71" s="7"/>
      <c r="D71" s="6"/>
      <c r="E71" s="6"/>
      <c r="F71" s="6"/>
    </row>
    <row r="72" spans="3:6" x14ac:dyDescent="0.25">
      <c r="C72" s="7"/>
      <c r="D72" s="6"/>
      <c r="E72" s="6"/>
      <c r="F72" s="6"/>
    </row>
    <row r="73" spans="3:6" x14ac:dyDescent="0.25">
      <c r="C73" s="7"/>
      <c r="D73" s="6"/>
      <c r="E73" s="6"/>
      <c r="F73" s="6"/>
    </row>
    <row r="74" spans="3:6" x14ac:dyDescent="0.25">
      <c r="C74" s="7"/>
      <c r="D74" s="6"/>
      <c r="E74" s="6"/>
      <c r="F74" s="6"/>
    </row>
    <row r="75" spans="3:6" x14ac:dyDescent="0.25">
      <c r="C75" s="7"/>
      <c r="D75" s="6"/>
      <c r="E75" s="6"/>
      <c r="F75" s="6"/>
    </row>
    <row r="76" spans="3:6" x14ac:dyDescent="0.25">
      <c r="C76" s="7"/>
      <c r="D76" s="6"/>
      <c r="E76" s="6"/>
      <c r="F76" s="6"/>
    </row>
    <row r="77" spans="3:6" x14ac:dyDescent="0.25">
      <c r="C77" s="7"/>
      <c r="D77" s="6"/>
      <c r="E77" s="6"/>
      <c r="F77" s="6"/>
    </row>
    <row r="78" spans="3:6" x14ac:dyDescent="0.25">
      <c r="C78" s="7"/>
      <c r="D78" s="6"/>
      <c r="E78" s="6"/>
      <c r="F78" s="6"/>
    </row>
    <row r="79" spans="3:6" x14ac:dyDescent="0.25">
      <c r="C79" s="7"/>
      <c r="D79" s="6"/>
      <c r="E79" s="6"/>
      <c r="F79" s="6"/>
    </row>
    <row r="80" spans="3:6" x14ac:dyDescent="0.25">
      <c r="C80" s="7"/>
      <c r="D80" s="6"/>
      <c r="E80" s="6"/>
      <c r="F80" s="6"/>
    </row>
    <row r="81" spans="3:6" x14ac:dyDescent="0.25">
      <c r="C81" s="7"/>
      <c r="D81" s="6"/>
      <c r="E81" s="6"/>
      <c r="F81" s="6"/>
    </row>
    <row r="82" spans="3:6" x14ac:dyDescent="0.25">
      <c r="C82" s="7"/>
      <c r="D82" s="6"/>
      <c r="E82" s="6"/>
      <c r="F82" s="6"/>
    </row>
    <row r="83" spans="3:6" x14ac:dyDescent="0.25">
      <c r="C83" s="7"/>
      <c r="D83" s="6"/>
      <c r="E83" s="6"/>
      <c r="F83" s="6"/>
    </row>
    <row r="84" spans="3:6" x14ac:dyDescent="0.25">
      <c r="C84" s="7"/>
      <c r="D84" s="6"/>
      <c r="E84" s="6"/>
      <c r="F84" s="6"/>
    </row>
    <row r="85" spans="3:6" x14ac:dyDescent="0.25">
      <c r="C85" s="7"/>
      <c r="D85" s="6"/>
      <c r="E85" s="6"/>
      <c r="F85" s="6"/>
    </row>
    <row r="86" spans="3:6" x14ac:dyDescent="0.25">
      <c r="C86" s="7"/>
      <c r="D86" s="6"/>
      <c r="E86" s="6"/>
      <c r="F86" s="6"/>
    </row>
    <row r="87" spans="3:6" x14ac:dyDescent="0.25">
      <c r="C87" s="7"/>
      <c r="D87" s="6"/>
      <c r="E87" s="6"/>
      <c r="F87" s="6"/>
    </row>
    <row r="88" spans="3:6" x14ac:dyDescent="0.25">
      <c r="C88" s="7"/>
      <c r="D88" s="6"/>
      <c r="E88" s="6"/>
      <c r="F88" s="6"/>
    </row>
    <row r="89" spans="3:6" x14ac:dyDescent="0.25">
      <c r="C89" s="7"/>
      <c r="D89" s="6"/>
      <c r="E89" s="6"/>
      <c r="F89" s="6"/>
    </row>
    <row r="90" spans="3:6" x14ac:dyDescent="0.25">
      <c r="C90" s="7"/>
      <c r="D90" s="6"/>
      <c r="E90" s="6"/>
      <c r="F90" s="6"/>
    </row>
    <row r="91" spans="3:6" x14ac:dyDescent="0.25">
      <c r="C91" s="7"/>
      <c r="D91" s="6"/>
      <c r="E91" s="6"/>
      <c r="F91" s="6"/>
    </row>
    <row r="92" spans="3:6" x14ac:dyDescent="0.25">
      <c r="C92" s="7"/>
      <c r="D92" s="6"/>
      <c r="E92" s="6"/>
      <c r="F92" s="6"/>
    </row>
    <row r="93" spans="3:6" x14ac:dyDescent="0.25">
      <c r="C93" s="7"/>
      <c r="D93" s="6"/>
      <c r="E93" s="6"/>
      <c r="F93" s="6"/>
    </row>
    <row r="94" spans="3:6" x14ac:dyDescent="0.25">
      <c r="C94" s="7"/>
      <c r="D94" s="6"/>
      <c r="E94" s="6"/>
      <c r="F94" s="6"/>
    </row>
    <row r="95" spans="3:6" x14ac:dyDescent="0.25">
      <c r="C95" s="7"/>
      <c r="D95" s="7"/>
      <c r="E95" s="7"/>
      <c r="F95" s="7"/>
    </row>
    <row r="96" spans="3:6" x14ac:dyDescent="0.25">
      <c r="C96" s="7"/>
      <c r="D96" s="7"/>
      <c r="E96" s="7"/>
      <c r="F96" s="7"/>
    </row>
    <row r="97" spans="3:6" x14ac:dyDescent="0.25">
      <c r="C97" s="7"/>
      <c r="D97" s="7"/>
      <c r="E97" s="7"/>
      <c r="F97" s="7"/>
    </row>
    <row r="98" spans="3:6" x14ac:dyDescent="0.25">
      <c r="C98" s="7"/>
      <c r="D98" s="7"/>
      <c r="E98" s="7"/>
      <c r="F98" s="7"/>
    </row>
    <row r="99" spans="3:6" x14ac:dyDescent="0.25">
      <c r="C99" s="7"/>
      <c r="D99" s="7"/>
      <c r="E99" s="7"/>
      <c r="F99" s="7"/>
    </row>
    <row r="100" spans="3:6" x14ac:dyDescent="0.25">
      <c r="C100" s="7"/>
      <c r="D100" s="7"/>
      <c r="E100" s="7"/>
      <c r="F100" s="7"/>
    </row>
    <row r="101" spans="3:6" x14ac:dyDescent="0.25">
      <c r="C101" s="7"/>
      <c r="D101" s="7"/>
      <c r="E101" s="7"/>
      <c r="F101" s="7"/>
    </row>
    <row r="102" spans="3:6" x14ac:dyDescent="0.25">
      <c r="C102" s="7"/>
      <c r="D102" s="7"/>
      <c r="E102" s="7"/>
      <c r="F102" s="7"/>
    </row>
    <row r="103" spans="3:6" x14ac:dyDescent="0.25">
      <c r="C103" s="7"/>
      <c r="D103" s="7"/>
      <c r="E103" s="7"/>
      <c r="F103" s="7"/>
    </row>
    <row r="104" spans="3:6" x14ac:dyDescent="0.25">
      <c r="C104" s="7"/>
      <c r="D104" s="7"/>
      <c r="E104" s="7"/>
      <c r="F104" s="7"/>
    </row>
    <row r="105" spans="3:6" x14ac:dyDescent="0.25">
      <c r="C105" s="7"/>
      <c r="D105" s="7"/>
      <c r="E105" s="7"/>
      <c r="F105" s="7"/>
    </row>
    <row r="106" spans="3:6" x14ac:dyDescent="0.25">
      <c r="C106" s="7"/>
      <c r="D106" s="7"/>
      <c r="E106" s="7"/>
      <c r="F106" s="7"/>
    </row>
    <row r="107" spans="3:6" x14ac:dyDescent="0.25">
      <c r="C107" s="7"/>
      <c r="D107" s="7"/>
      <c r="E107" s="7"/>
      <c r="F107" s="7"/>
    </row>
    <row r="108" spans="3:6" x14ac:dyDescent="0.25">
      <c r="C108" s="7"/>
      <c r="D108" s="7"/>
      <c r="E108" s="7"/>
      <c r="F108" s="7"/>
    </row>
    <row r="109" spans="3:6" x14ac:dyDescent="0.25">
      <c r="C109" s="7"/>
      <c r="D109" s="7"/>
      <c r="E109" s="7"/>
      <c r="F109" s="7"/>
    </row>
    <row r="110" spans="3:6" x14ac:dyDescent="0.25">
      <c r="C110" s="7"/>
      <c r="D110" s="7"/>
      <c r="E110" s="7"/>
      <c r="F110" s="7"/>
    </row>
    <row r="111" spans="3:6" x14ac:dyDescent="0.25">
      <c r="C111" s="7"/>
      <c r="D111" s="7"/>
      <c r="E111" s="7"/>
      <c r="F111" s="7"/>
    </row>
    <row r="112" spans="3:6" x14ac:dyDescent="0.25">
      <c r="C112" s="7"/>
      <c r="D112" s="7"/>
      <c r="E112" s="7"/>
      <c r="F112" s="7"/>
    </row>
    <row r="113" spans="3:6" x14ac:dyDescent="0.25">
      <c r="C113" s="7"/>
      <c r="D113" s="7"/>
      <c r="E113" s="7"/>
      <c r="F113" s="7"/>
    </row>
    <row r="114" spans="3:6" x14ac:dyDescent="0.25">
      <c r="C114" s="7"/>
      <c r="D114" s="7"/>
      <c r="E114" s="7"/>
      <c r="F114" s="7"/>
    </row>
    <row r="115" spans="3:6" x14ac:dyDescent="0.25">
      <c r="C115" s="7"/>
      <c r="D115" s="7"/>
      <c r="E115" s="7"/>
      <c r="F115" s="7"/>
    </row>
    <row r="116" spans="3:6" x14ac:dyDescent="0.25">
      <c r="C116" s="7"/>
      <c r="D116" s="7"/>
      <c r="E116" s="7"/>
      <c r="F116" s="7"/>
    </row>
    <row r="117" spans="3:6" x14ac:dyDescent="0.25">
      <c r="C117" s="7"/>
      <c r="D117" s="7"/>
      <c r="E117" s="7"/>
      <c r="F117" s="7"/>
    </row>
    <row r="118" spans="3:6" x14ac:dyDescent="0.25">
      <c r="C118" s="7"/>
      <c r="D118" s="7"/>
      <c r="E118" s="7"/>
      <c r="F118" s="7"/>
    </row>
    <row r="119" spans="3:6" x14ac:dyDescent="0.25">
      <c r="C119" s="7"/>
      <c r="D119" s="7"/>
      <c r="E119" s="7"/>
      <c r="F119" s="7"/>
    </row>
    <row r="120" spans="3:6" x14ac:dyDescent="0.25">
      <c r="C120" s="7"/>
      <c r="D120" s="7"/>
      <c r="E120" s="7"/>
      <c r="F120" s="7"/>
    </row>
    <row r="121" spans="3:6" x14ac:dyDescent="0.25">
      <c r="C121" s="7"/>
      <c r="D121" s="7"/>
      <c r="E121" s="7"/>
      <c r="F121" s="7"/>
    </row>
    <row r="122" spans="3:6" x14ac:dyDescent="0.25">
      <c r="C122" s="7"/>
      <c r="D122" s="7"/>
      <c r="E122" s="7"/>
      <c r="F122" s="7"/>
    </row>
    <row r="123" spans="3:6" x14ac:dyDescent="0.25">
      <c r="C123" s="7"/>
      <c r="D123" s="7"/>
      <c r="E123" s="7"/>
      <c r="F123" s="7"/>
    </row>
    <row r="124" spans="3:6" x14ac:dyDescent="0.25">
      <c r="C124" s="7"/>
      <c r="D124" s="7"/>
      <c r="E124" s="7"/>
      <c r="F124" s="7"/>
    </row>
    <row r="125" spans="3:6" x14ac:dyDescent="0.25">
      <c r="C125" s="7"/>
      <c r="D125" s="7"/>
      <c r="E125" s="7"/>
      <c r="F125" s="7"/>
    </row>
    <row r="126" spans="3:6" x14ac:dyDescent="0.25">
      <c r="C126" s="7"/>
      <c r="D126" s="7"/>
      <c r="E126" s="7"/>
      <c r="F126" s="7"/>
    </row>
    <row r="127" spans="3:6" x14ac:dyDescent="0.25">
      <c r="C127" s="7"/>
      <c r="D127" s="7"/>
      <c r="E127" s="7"/>
      <c r="F127" s="7"/>
    </row>
    <row r="128" spans="3:6" x14ac:dyDescent="0.25">
      <c r="C128" s="7"/>
      <c r="D128" s="7"/>
      <c r="E128" s="7"/>
      <c r="F128" s="7"/>
    </row>
    <row r="129" spans="3:6" x14ac:dyDescent="0.25">
      <c r="C129" s="7"/>
      <c r="D129" s="7"/>
      <c r="E129" s="7"/>
      <c r="F129" s="7"/>
    </row>
    <row r="130" spans="3:6" x14ac:dyDescent="0.25">
      <c r="C130" s="7"/>
      <c r="D130" s="7"/>
      <c r="E130" s="7"/>
      <c r="F130" s="7"/>
    </row>
    <row r="131" spans="3:6" x14ac:dyDescent="0.25">
      <c r="C131" s="7"/>
      <c r="D131" s="7"/>
      <c r="E131" s="7"/>
      <c r="F131" s="7"/>
    </row>
    <row r="132" spans="3:6" x14ac:dyDescent="0.25">
      <c r="C132" s="7"/>
      <c r="D132" s="7"/>
      <c r="E132" s="7"/>
      <c r="F132" s="7"/>
    </row>
    <row r="133" spans="3:6" x14ac:dyDescent="0.25">
      <c r="C133" s="7"/>
      <c r="D133" s="7"/>
      <c r="E133" s="7"/>
      <c r="F133" s="7"/>
    </row>
    <row r="134" spans="3:6" x14ac:dyDescent="0.25">
      <c r="C134" s="7"/>
      <c r="D134" s="7"/>
      <c r="E134" s="7"/>
      <c r="F134" s="7"/>
    </row>
    <row r="135" spans="3:6" x14ac:dyDescent="0.25">
      <c r="C135" s="7"/>
      <c r="D135" s="7"/>
      <c r="E135" s="7"/>
      <c r="F135" s="7"/>
    </row>
    <row r="136" spans="3:6" x14ac:dyDescent="0.25">
      <c r="C136" s="7"/>
      <c r="D136" s="7"/>
      <c r="E136" s="7"/>
      <c r="F136" s="7"/>
    </row>
    <row r="137" spans="3:6" x14ac:dyDescent="0.25">
      <c r="C137" s="7"/>
      <c r="D137" s="7"/>
      <c r="E137" s="7"/>
      <c r="F137" s="7"/>
    </row>
    <row r="138" spans="3:6" x14ac:dyDescent="0.25">
      <c r="C138" s="7"/>
      <c r="D138" s="7"/>
      <c r="E138" s="7"/>
      <c r="F138" s="7"/>
    </row>
    <row r="139" spans="3:6" x14ac:dyDescent="0.25">
      <c r="C139" s="7"/>
      <c r="D139" s="7"/>
      <c r="E139" s="7"/>
      <c r="F139" s="7"/>
    </row>
    <row r="140" spans="3:6" x14ac:dyDescent="0.25">
      <c r="C140" s="7"/>
      <c r="D140" s="7"/>
      <c r="E140" s="7"/>
      <c r="F140" s="7"/>
    </row>
    <row r="141" spans="3:6" x14ac:dyDescent="0.25">
      <c r="C141" s="7"/>
      <c r="D141" s="7"/>
      <c r="E141" s="7"/>
      <c r="F141" s="7"/>
    </row>
    <row r="142" spans="3:6" x14ac:dyDescent="0.25">
      <c r="C142" s="7"/>
      <c r="D142" s="7"/>
      <c r="E142" s="7"/>
      <c r="F142" s="7"/>
    </row>
    <row r="143" spans="3:6" x14ac:dyDescent="0.25">
      <c r="C143" s="7"/>
      <c r="D143" s="7"/>
      <c r="E143" s="7"/>
      <c r="F143" s="7"/>
    </row>
    <row r="144" spans="3:6" x14ac:dyDescent="0.25">
      <c r="C144" s="7"/>
      <c r="D144" s="7"/>
      <c r="E144" s="7"/>
      <c r="F144" s="7"/>
    </row>
    <row r="145" spans="3:6" x14ac:dyDescent="0.25">
      <c r="C145" s="7"/>
      <c r="D145" s="7"/>
      <c r="E145" s="7"/>
      <c r="F145" s="7"/>
    </row>
    <row r="146" spans="3:6" x14ac:dyDescent="0.25">
      <c r="C146" s="7"/>
      <c r="D146" s="7"/>
      <c r="E146" s="7"/>
      <c r="F146" s="7"/>
    </row>
    <row r="147" spans="3:6" x14ac:dyDescent="0.25">
      <c r="C147" s="7"/>
      <c r="D147" s="7"/>
      <c r="E147" s="7"/>
      <c r="F147" s="7"/>
    </row>
    <row r="148" spans="3:6" x14ac:dyDescent="0.25">
      <c r="C148" s="7"/>
      <c r="D148" s="7"/>
      <c r="E148" s="7"/>
      <c r="F148" s="7"/>
    </row>
    <row r="149" spans="3:6" x14ac:dyDescent="0.25">
      <c r="C149" s="7"/>
      <c r="D149" s="7"/>
      <c r="E149" s="7"/>
      <c r="F149" s="7"/>
    </row>
    <row r="150" spans="3:6" x14ac:dyDescent="0.25">
      <c r="C150" s="7"/>
      <c r="D150" s="7"/>
      <c r="E150" s="7"/>
      <c r="F150" s="7"/>
    </row>
    <row r="151" spans="3:6" x14ac:dyDescent="0.25">
      <c r="C151" s="7"/>
      <c r="D151" s="7"/>
      <c r="E151" s="7"/>
      <c r="F151" s="7"/>
    </row>
    <row r="152" spans="3:6" x14ac:dyDescent="0.25">
      <c r="C152" s="7"/>
      <c r="D152" s="7"/>
      <c r="E152" s="7"/>
      <c r="F152" s="7"/>
    </row>
    <row r="153" spans="3:6" x14ac:dyDescent="0.25">
      <c r="C153" s="7"/>
      <c r="D153" s="7"/>
      <c r="E153" s="7"/>
      <c r="F153" s="7"/>
    </row>
    <row r="154" spans="3:6" x14ac:dyDescent="0.25">
      <c r="C154" s="7"/>
      <c r="D154" s="7"/>
      <c r="E154" s="7"/>
      <c r="F154" s="7"/>
    </row>
    <row r="155" spans="3:6" x14ac:dyDescent="0.25">
      <c r="C155" s="7"/>
      <c r="D155" s="7"/>
      <c r="E155" s="7"/>
      <c r="F155" s="7"/>
    </row>
    <row r="156" spans="3:6" x14ac:dyDescent="0.25">
      <c r="C156" s="7"/>
      <c r="D156" s="7"/>
      <c r="E156" s="7"/>
      <c r="F156" s="7"/>
    </row>
    <row r="157" spans="3:6" x14ac:dyDescent="0.25">
      <c r="C157" s="7"/>
      <c r="D157" s="7"/>
      <c r="E157" s="7"/>
      <c r="F157" s="7"/>
    </row>
    <row r="158" spans="3:6" x14ac:dyDescent="0.25">
      <c r="C158" s="7"/>
      <c r="D158" s="7"/>
      <c r="E158" s="7"/>
      <c r="F158" s="7"/>
    </row>
    <row r="159" spans="3:6" x14ac:dyDescent="0.25">
      <c r="C159" s="7"/>
      <c r="D159" s="7"/>
      <c r="E159" s="7"/>
      <c r="F159" s="7"/>
    </row>
    <row r="160" spans="3:6" x14ac:dyDescent="0.25">
      <c r="C160" s="7"/>
      <c r="D160" s="7"/>
      <c r="E160" s="7"/>
      <c r="F160" s="7"/>
    </row>
    <row r="161" spans="3:6" x14ac:dyDescent="0.25">
      <c r="C161" s="7"/>
      <c r="D161" s="7"/>
      <c r="E161" s="7"/>
      <c r="F161" s="7"/>
    </row>
    <row r="162" spans="3:6" x14ac:dyDescent="0.25">
      <c r="C162" s="7"/>
      <c r="D162" s="7"/>
      <c r="E162" s="7"/>
      <c r="F162" s="7"/>
    </row>
    <row r="163" spans="3:6" x14ac:dyDescent="0.25">
      <c r="C163" s="7"/>
      <c r="D163" s="7"/>
      <c r="E163" s="7"/>
      <c r="F163" s="7"/>
    </row>
    <row r="164" spans="3:6" x14ac:dyDescent="0.25">
      <c r="C164" s="7"/>
      <c r="D164" s="7"/>
      <c r="E164" s="7"/>
      <c r="F164" s="7"/>
    </row>
    <row r="165" spans="3:6" x14ac:dyDescent="0.25">
      <c r="C165" s="7"/>
      <c r="D165" s="7"/>
      <c r="E165" s="7"/>
      <c r="F165" s="7"/>
    </row>
    <row r="166" spans="3:6" x14ac:dyDescent="0.25">
      <c r="C166" s="7"/>
      <c r="D166" s="7"/>
      <c r="E166" s="7"/>
      <c r="F166" s="7"/>
    </row>
    <row r="167" spans="3:6" x14ac:dyDescent="0.25">
      <c r="C167" s="7"/>
      <c r="D167" s="7"/>
      <c r="E167" s="7"/>
      <c r="F167" s="7"/>
    </row>
    <row r="168" spans="3:6" x14ac:dyDescent="0.25">
      <c r="C168" s="7"/>
      <c r="D168" s="7"/>
      <c r="E168" s="7"/>
      <c r="F168" s="7"/>
    </row>
    <row r="169" spans="3:6" x14ac:dyDescent="0.25">
      <c r="C169" s="7"/>
      <c r="D169" s="7"/>
      <c r="E169" s="7"/>
      <c r="F169" s="7"/>
    </row>
    <row r="170" spans="3:6" x14ac:dyDescent="0.25">
      <c r="C170" s="7"/>
      <c r="D170" s="7"/>
      <c r="E170" s="7"/>
      <c r="F170" s="7"/>
    </row>
    <row r="171" spans="3:6" x14ac:dyDescent="0.25">
      <c r="C171" s="7"/>
      <c r="D171" s="7"/>
      <c r="E171" s="7"/>
      <c r="F171" s="7"/>
    </row>
    <row r="172" spans="3:6" x14ac:dyDescent="0.25">
      <c r="C172" s="7"/>
      <c r="D172" s="7"/>
      <c r="E172" s="7"/>
      <c r="F172" s="7"/>
    </row>
    <row r="173" spans="3:6" x14ac:dyDescent="0.25">
      <c r="C173" s="7"/>
      <c r="D173" s="7"/>
      <c r="E173" s="7"/>
      <c r="F173" s="7"/>
    </row>
    <row r="174" spans="3:6" x14ac:dyDescent="0.25">
      <c r="C174" s="7"/>
      <c r="D174" s="7"/>
      <c r="E174" s="7"/>
      <c r="F174" s="7"/>
    </row>
    <row r="175" spans="3:6" x14ac:dyDescent="0.25">
      <c r="C175" s="7"/>
      <c r="D175" s="7"/>
      <c r="E175" s="7"/>
      <c r="F175" s="7"/>
    </row>
    <row r="176" spans="3:6" x14ac:dyDescent="0.25">
      <c r="C176" s="7"/>
      <c r="D176" s="7"/>
      <c r="E176" s="7"/>
      <c r="F176" s="7"/>
    </row>
    <row r="177" spans="3:6" x14ac:dyDescent="0.25">
      <c r="C177" s="7"/>
      <c r="D177" s="7"/>
      <c r="E177" s="7"/>
      <c r="F177" s="7"/>
    </row>
    <row r="178" spans="3:6" x14ac:dyDescent="0.25">
      <c r="C178" s="7"/>
      <c r="D178" s="7"/>
      <c r="E178" s="7"/>
      <c r="F178" s="7"/>
    </row>
    <row r="179" spans="3:6" x14ac:dyDescent="0.25">
      <c r="C179" s="7"/>
      <c r="D179" s="7"/>
      <c r="E179" s="7"/>
      <c r="F179" s="7"/>
    </row>
    <row r="180" spans="3:6" x14ac:dyDescent="0.25">
      <c r="C180" s="7"/>
      <c r="D180" s="7"/>
      <c r="E180" s="7"/>
      <c r="F180" s="7"/>
    </row>
    <row r="181" spans="3:6" x14ac:dyDescent="0.25">
      <c r="C181" s="7"/>
      <c r="D181" s="7"/>
      <c r="E181" s="7"/>
      <c r="F181" s="7"/>
    </row>
    <row r="182" spans="3:6" x14ac:dyDescent="0.25">
      <c r="C182" s="7"/>
      <c r="D182" s="7"/>
      <c r="E182" s="7"/>
      <c r="F182" s="7"/>
    </row>
    <row r="183" spans="3:6" x14ac:dyDescent="0.25">
      <c r="C183" s="7"/>
      <c r="D183" s="7"/>
      <c r="E183" s="7"/>
      <c r="F183" s="7"/>
    </row>
    <row r="184" spans="3:6" x14ac:dyDescent="0.25">
      <c r="C184" s="7"/>
      <c r="D184" s="7"/>
      <c r="E184" s="7"/>
      <c r="F184" s="7"/>
    </row>
    <row r="185" spans="3:6" x14ac:dyDescent="0.25">
      <c r="C185" s="7"/>
      <c r="D185" s="7"/>
      <c r="E185" s="7"/>
      <c r="F185" s="7"/>
    </row>
    <row r="186" spans="3:6" x14ac:dyDescent="0.25">
      <c r="C186" s="7"/>
      <c r="D186" s="7"/>
      <c r="E186" s="7"/>
      <c r="F186" s="7"/>
    </row>
    <row r="187" spans="3:6" x14ac:dyDescent="0.25">
      <c r="C187" s="7"/>
      <c r="D187" s="7"/>
      <c r="E187" s="7"/>
      <c r="F187" s="7"/>
    </row>
    <row r="188" spans="3:6" x14ac:dyDescent="0.25">
      <c r="C188" s="7"/>
      <c r="D188" s="7"/>
      <c r="E188" s="7"/>
      <c r="F188" s="7"/>
    </row>
    <row r="189" spans="3:6" x14ac:dyDescent="0.25">
      <c r="C189" s="7"/>
      <c r="D189" s="7"/>
      <c r="E189" s="7"/>
      <c r="F189" s="7"/>
    </row>
    <row r="190" spans="3:6" x14ac:dyDescent="0.25">
      <c r="C190" s="7"/>
      <c r="D190" s="7"/>
      <c r="E190" s="7"/>
      <c r="F190" s="7"/>
    </row>
    <row r="191" spans="3:6" x14ac:dyDescent="0.25">
      <c r="C191" s="7"/>
      <c r="D191" s="7"/>
      <c r="E191" s="7"/>
      <c r="F191" s="7"/>
    </row>
    <row r="192" spans="3:6" x14ac:dyDescent="0.25">
      <c r="C192" s="7"/>
      <c r="D192" s="7"/>
      <c r="E192" s="7"/>
      <c r="F192" s="7"/>
    </row>
    <row r="193" spans="3:6" x14ac:dyDescent="0.25">
      <c r="C193" s="7"/>
      <c r="D193" s="7"/>
      <c r="E193" s="7"/>
      <c r="F193" s="7"/>
    </row>
    <row r="194" spans="3:6" x14ac:dyDescent="0.25">
      <c r="C194" s="7"/>
      <c r="D194" s="7"/>
      <c r="E194" s="7"/>
      <c r="F194" s="7"/>
    </row>
    <row r="195" spans="3:6" x14ac:dyDescent="0.25">
      <c r="C195" s="7"/>
      <c r="D195" s="7"/>
      <c r="E195" s="7"/>
      <c r="F195" s="7"/>
    </row>
    <row r="196" spans="3:6" x14ac:dyDescent="0.25">
      <c r="C196" s="7"/>
      <c r="D196" s="7"/>
      <c r="E196" s="7"/>
      <c r="F196" s="7"/>
    </row>
    <row r="197" spans="3:6" x14ac:dyDescent="0.25">
      <c r="C197" s="7"/>
      <c r="D197" s="7"/>
      <c r="E197" s="7"/>
      <c r="F197" s="7"/>
    </row>
    <row r="198" spans="3:6" x14ac:dyDescent="0.25">
      <c r="C198" s="7"/>
      <c r="D198" s="7"/>
      <c r="E198" s="7"/>
      <c r="F198" s="7"/>
    </row>
    <row r="199" spans="3:6" x14ac:dyDescent="0.25">
      <c r="C199" s="7"/>
      <c r="D199" s="7"/>
      <c r="E199" s="7"/>
      <c r="F199" s="7"/>
    </row>
    <row r="200" spans="3:6" x14ac:dyDescent="0.25">
      <c r="C200" s="7"/>
      <c r="D200" s="7"/>
      <c r="E200" s="7"/>
      <c r="F200" s="7"/>
    </row>
    <row r="201" spans="3:6" x14ac:dyDescent="0.25">
      <c r="C201" s="7"/>
      <c r="D201" s="7"/>
      <c r="E201" s="7"/>
      <c r="F201" s="7"/>
    </row>
    <row r="202" spans="3:6" x14ac:dyDescent="0.25">
      <c r="C202" s="7"/>
      <c r="D202" s="7"/>
      <c r="E202" s="7"/>
      <c r="F202" s="7"/>
    </row>
    <row r="203" spans="3:6" x14ac:dyDescent="0.25">
      <c r="C203" s="7"/>
      <c r="D203" s="7"/>
      <c r="E203" s="7"/>
      <c r="F203" s="7"/>
    </row>
    <row r="204" spans="3:6" x14ac:dyDescent="0.25">
      <c r="C204" s="7"/>
      <c r="D204" s="7"/>
      <c r="E204" s="7"/>
      <c r="F204" s="7"/>
    </row>
    <row r="205" spans="3:6" x14ac:dyDescent="0.25">
      <c r="C205" s="7"/>
      <c r="D205" s="7"/>
      <c r="E205" s="7"/>
      <c r="F205" s="7"/>
    </row>
    <row r="206" spans="3:6" x14ac:dyDescent="0.25">
      <c r="C206" s="7"/>
      <c r="D206" s="7"/>
      <c r="E206" s="7"/>
      <c r="F206" s="7"/>
    </row>
    <row r="207" spans="3:6" x14ac:dyDescent="0.25">
      <c r="C207" s="7"/>
      <c r="D207" s="7"/>
      <c r="E207" s="7"/>
      <c r="F207" s="7"/>
    </row>
    <row r="208" spans="3:6" x14ac:dyDescent="0.25">
      <c r="C208" s="7"/>
      <c r="D208" s="7"/>
      <c r="E208" s="7"/>
      <c r="F208" s="7"/>
    </row>
    <row r="209" spans="3:6" x14ac:dyDescent="0.25">
      <c r="C209" s="7"/>
      <c r="D209" s="7"/>
      <c r="E209" s="7"/>
      <c r="F209" s="7"/>
    </row>
    <row r="210" spans="3:6" x14ac:dyDescent="0.25">
      <c r="C210" s="7"/>
      <c r="D210" s="7"/>
      <c r="E210" s="7"/>
      <c r="F210" s="7"/>
    </row>
    <row r="211" spans="3:6" x14ac:dyDescent="0.25">
      <c r="C211" s="7"/>
      <c r="D211" s="7"/>
      <c r="E211" s="7"/>
      <c r="F211" s="7"/>
    </row>
    <row r="212" spans="3:6" x14ac:dyDescent="0.25">
      <c r="C212" s="7"/>
      <c r="D212" s="7"/>
      <c r="E212" s="7"/>
      <c r="F212" s="7"/>
    </row>
    <row r="213" spans="3:6" x14ac:dyDescent="0.25">
      <c r="C213" s="7"/>
      <c r="D213" s="7"/>
      <c r="E213" s="7"/>
      <c r="F213" s="7"/>
    </row>
    <row r="214" spans="3:6" x14ac:dyDescent="0.25">
      <c r="C214" s="7"/>
      <c r="D214" s="7"/>
      <c r="E214" s="7"/>
      <c r="F214" s="7"/>
    </row>
    <row r="215" spans="3:6" x14ac:dyDescent="0.25">
      <c r="C215" s="7"/>
      <c r="D215" s="7"/>
      <c r="E215" s="7"/>
      <c r="F215" s="7"/>
    </row>
    <row r="216" spans="3:6" x14ac:dyDescent="0.25">
      <c r="C216" s="7"/>
      <c r="D216" s="7"/>
      <c r="E216" s="7"/>
      <c r="F216" s="7"/>
    </row>
    <row r="217" spans="3:6" x14ac:dyDescent="0.25">
      <c r="C217" s="7"/>
      <c r="D217" s="7"/>
      <c r="E217" s="7"/>
      <c r="F217" s="7"/>
    </row>
    <row r="218" spans="3:6" x14ac:dyDescent="0.25">
      <c r="C218" s="7"/>
      <c r="D218" s="7"/>
      <c r="E218" s="7"/>
      <c r="F218" s="7"/>
    </row>
    <row r="219" spans="3:6" x14ac:dyDescent="0.25">
      <c r="C219" s="7"/>
      <c r="D219" s="7"/>
      <c r="E219" s="7"/>
      <c r="F219" s="7"/>
    </row>
    <row r="220" spans="3:6" x14ac:dyDescent="0.25">
      <c r="C220" s="7"/>
      <c r="D220" s="7"/>
      <c r="E220" s="7"/>
      <c r="F220" s="7"/>
    </row>
    <row r="221" spans="3:6" x14ac:dyDescent="0.25">
      <c r="C221" s="7"/>
      <c r="D221" s="7"/>
      <c r="E221" s="7"/>
      <c r="F221" s="7"/>
    </row>
    <row r="222" spans="3:6" x14ac:dyDescent="0.25">
      <c r="C222" s="7"/>
      <c r="D222" s="7"/>
      <c r="E222" s="7"/>
      <c r="F222" s="7"/>
    </row>
    <row r="223" spans="3:6" x14ac:dyDescent="0.25">
      <c r="C223" s="7"/>
      <c r="D223" s="7"/>
      <c r="E223" s="7"/>
      <c r="F223" s="7"/>
    </row>
    <row r="224" spans="3:6" x14ac:dyDescent="0.25">
      <c r="C224" s="7"/>
      <c r="D224" s="7"/>
      <c r="E224" s="7"/>
      <c r="F224" s="7"/>
    </row>
    <row r="225" spans="3:6" x14ac:dyDescent="0.25">
      <c r="C225" s="7"/>
      <c r="D225" s="7"/>
      <c r="E225" s="7"/>
      <c r="F225" s="7"/>
    </row>
    <row r="226" spans="3:6" x14ac:dyDescent="0.25">
      <c r="C226" s="7"/>
      <c r="D226" s="7"/>
      <c r="E226" s="7"/>
      <c r="F226" s="7"/>
    </row>
    <row r="227" spans="3:6" x14ac:dyDescent="0.25">
      <c r="C227" s="7"/>
      <c r="D227" s="7"/>
      <c r="E227" s="7"/>
      <c r="F227" s="7"/>
    </row>
    <row r="228" spans="3:6" x14ac:dyDescent="0.25">
      <c r="C228" s="7"/>
      <c r="D228" s="7"/>
      <c r="E228" s="7"/>
      <c r="F228" s="7"/>
    </row>
    <row r="229" spans="3:6" x14ac:dyDescent="0.25">
      <c r="C229" s="7"/>
      <c r="D229" s="7"/>
      <c r="E229" s="7"/>
      <c r="F229" s="7"/>
    </row>
    <row r="230" spans="3:6" x14ac:dyDescent="0.25">
      <c r="C230" s="7"/>
      <c r="D230" s="7"/>
      <c r="E230" s="7"/>
      <c r="F230" s="7"/>
    </row>
    <row r="231" spans="3:6" x14ac:dyDescent="0.25">
      <c r="C231" s="7"/>
      <c r="D231" s="7"/>
      <c r="E231" s="7"/>
      <c r="F231" s="7"/>
    </row>
    <row r="232" spans="3:6" x14ac:dyDescent="0.25">
      <c r="C232" s="7"/>
      <c r="D232" s="7"/>
      <c r="E232" s="7"/>
      <c r="F232" s="7"/>
    </row>
    <row r="233" spans="3:6" x14ac:dyDescent="0.25">
      <c r="C233" s="7"/>
      <c r="D233" s="7"/>
      <c r="E233" s="7"/>
      <c r="F233" s="7"/>
    </row>
  </sheetData>
  <sheetProtection algorithmName="SHA-512" hashValue="Py35MTDL+9B4mSfu4yempnO+7unwAa3Wfwu3lSvBTVHzSmiNH/cCdV1j8jHcYZ0YjJ8RhphORL0mHGCxhSlPRA==" saltValue="Wn/sXShXWp99t9WSYU5tBA==" spinCount="100000" sheet="1" formatCells="0" formatColumns="0" formatRows="0" insertColumns="0" insertRows="0" insertHyperlinks="0" deleteColumns="0" deleteRows="0" sort="0" autoFilter="0" pivotTables="0"/>
  <mergeCells count="29">
    <mergeCell ref="B29:C29"/>
    <mergeCell ref="B30:C30"/>
    <mergeCell ref="B19:C19"/>
    <mergeCell ref="B20:C20"/>
    <mergeCell ref="B21:C21"/>
    <mergeCell ref="B22:C22"/>
    <mergeCell ref="B23:C23"/>
    <mergeCell ref="B24:C24"/>
    <mergeCell ref="A1:F1"/>
    <mergeCell ref="B25:C25"/>
    <mergeCell ref="B26:C26"/>
    <mergeCell ref="B27:C27"/>
    <mergeCell ref="B28:C28"/>
    <mergeCell ref="B13:C13"/>
    <mergeCell ref="B14:C14"/>
    <mergeCell ref="B15:C15"/>
    <mergeCell ref="B16:C16"/>
    <mergeCell ref="B17:C17"/>
    <mergeCell ref="B18:C18"/>
    <mergeCell ref="D6:E6"/>
    <mergeCell ref="D7:E7"/>
    <mergeCell ref="D8:E8"/>
    <mergeCell ref="B11:C11"/>
    <mergeCell ref="B12:C12"/>
    <mergeCell ref="B31:C31"/>
    <mergeCell ref="C33:D33"/>
    <mergeCell ref="E33:F33"/>
    <mergeCell ref="C34:D34"/>
    <mergeCell ref="E34:F3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9ACEF-A711-42E0-8A48-C32EF0A216FC}">
  <dimension ref="A1:J233"/>
  <sheetViews>
    <sheetView showGridLines="0" topLeftCell="A10" workbookViewId="0">
      <selection activeCell="D12" sqref="D12"/>
    </sheetView>
  </sheetViews>
  <sheetFormatPr defaultRowHeight="13.8" x14ac:dyDescent="0.25"/>
  <cols>
    <col min="1" max="1" width="4.69921875" style="6" customWidth="1"/>
    <col min="2" max="2" width="20.69921875" style="6" customWidth="1"/>
    <col min="3" max="3" width="20.69921875" customWidth="1"/>
    <col min="4" max="4" width="7.69921875" customWidth="1"/>
    <col min="5" max="6" width="15.296875" customWidth="1"/>
    <col min="9" max="9" width="13.296875" customWidth="1"/>
  </cols>
  <sheetData>
    <row r="1" spans="1:10" ht="18" x14ac:dyDescent="0.25">
      <c r="A1" s="126" t="s">
        <v>79</v>
      </c>
      <c r="B1" s="127"/>
      <c r="C1" s="127"/>
      <c r="D1" s="127"/>
      <c r="E1" s="127"/>
      <c r="F1" s="128"/>
    </row>
    <row r="2" spans="1:10" x14ac:dyDescent="0.25">
      <c r="A2" s="15"/>
      <c r="B2" s="63" t="s">
        <v>45</v>
      </c>
      <c r="C2" s="16"/>
      <c r="D2" s="16"/>
      <c r="E2" s="62" t="s">
        <v>80</v>
      </c>
      <c r="F2" s="21"/>
    </row>
    <row r="3" spans="1:10" x14ac:dyDescent="0.25">
      <c r="A3" s="15"/>
      <c r="B3" s="63" t="s">
        <v>33</v>
      </c>
      <c r="C3" s="16"/>
      <c r="E3" s="62" t="s">
        <v>34</v>
      </c>
      <c r="F3" s="50"/>
    </row>
    <row r="4" spans="1:10" ht="15.6" x14ac:dyDescent="0.3">
      <c r="A4" s="15"/>
      <c r="B4" s="63" t="s">
        <v>35</v>
      </c>
      <c r="C4" s="16"/>
      <c r="D4" s="17"/>
      <c r="E4" s="62" t="s">
        <v>37</v>
      </c>
      <c r="F4" s="51"/>
    </row>
    <row r="5" spans="1:10" ht="15.6" x14ac:dyDescent="0.3">
      <c r="A5" s="15"/>
      <c r="B5" s="16"/>
      <c r="C5" s="16"/>
      <c r="D5" s="1"/>
      <c r="E5" s="17"/>
      <c r="F5" s="18"/>
    </row>
    <row r="6" spans="1:10" ht="15.6" x14ac:dyDescent="0.3">
      <c r="A6" s="15"/>
      <c r="B6" s="63" t="s">
        <v>55</v>
      </c>
      <c r="C6" s="16"/>
      <c r="D6" s="144"/>
      <c r="E6" s="144"/>
      <c r="F6" s="18"/>
    </row>
    <row r="7" spans="1:10" ht="15.6" x14ac:dyDescent="0.3">
      <c r="A7" s="15"/>
      <c r="B7" s="63" t="s">
        <v>50</v>
      </c>
      <c r="C7" s="16"/>
      <c r="D7" s="145"/>
      <c r="E7" s="145"/>
      <c r="F7" s="18"/>
    </row>
    <row r="8" spans="1:10" ht="15.6" x14ac:dyDescent="0.3">
      <c r="A8" s="15"/>
      <c r="B8" s="63" t="s">
        <v>101</v>
      </c>
      <c r="C8" s="16"/>
      <c r="D8" s="146" t="s">
        <v>102</v>
      </c>
      <c r="E8" s="146"/>
      <c r="F8" s="19"/>
    </row>
    <row r="9" spans="1:10" x14ac:dyDescent="0.25">
      <c r="A9" s="15"/>
      <c r="F9" s="20"/>
    </row>
    <row r="10" spans="1:10" x14ac:dyDescent="0.25">
      <c r="A10" s="15"/>
      <c r="F10" s="20"/>
    </row>
    <row r="11" spans="1:10" x14ac:dyDescent="0.25">
      <c r="A11" s="10" t="s">
        <v>64</v>
      </c>
      <c r="B11" s="147" t="s">
        <v>46</v>
      </c>
      <c r="C11" s="148"/>
      <c r="D11" s="11" t="s">
        <v>47</v>
      </c>
      <c r="E11" s="11" t="s">
        <v>49</v>
      </c>
      <c r="F11" s="11" t="s">
        <v>48</v>
      </c>
      <c r="I11" s="55" t="s">
        <v>88</v>
      </c>
      <c r="J11" s="53">
        <v>1</v>
      </c>
    </row>
    <row r="12" spans="1:10" x14ac:dyDescent="0.25">
      <c r="A12" s="10">
        <v>1</v>
      </c>
      <c r="B12" s="140" t="s">
        <v>51</v>
      </c>
      <c r="C12" s="141"/>
      <c r="D12" s="105">
        <v>0</v>
      </c>
      <c r="E12" s="57">
        <v>1000</v>
      </c>
      <c r="F12" s="14">
        <f t="shared" ref="F12:F31" si="0">D12*E12</f>
        <v>0</v>
      </c>
      <c r="I12" s="56" t="s">
        <v>87</v>
      </c>
      <c r="J12" s="54">
        <v>1</v>
      </c>
    </row>
    <row r="13" spans="1:10" x14ac:dyDescent="0.25">
      <c r="A13" s="10">
        <v>2</v>
      </c>
      <c r="B13" s="140" t="s">
        <v>52</v>
      </c>
      <c r="C13" s="141" t="s">
        <v>52</v>
      </c>
      <c r="D13" s="106">
        <v>0.05</v>
      </c>
      <c r="E13" s="52">
        <f>D12*E12</f>
        <v>0</v>
      </c>
      <c r="F13" s="14">
        <f t="shared" si="0"/>
        <v>0</v>
      </c>
      <c r="I13" s="55" t="s">
        <v>86</v>
      </c>
      <c r="J13" s="28">
        <v>1</v>
      </c>
    </row>
    <row r="14" spans="1:10" x14ac:dyDescent="0.25">
      <c r="A14" s="10">
        <v>3</v>
      </c>
      <c r="B14" s="140" t="s">
        <v>54</v>
      </c>
      <c r="C14" s="141" t="s">
        <v>54</v>
      </c>
      <c r="D14" s="106">
        <v>0.05</v>
      </c>
      <c r="E14" s="52">
        <f>D12*E12</f>
        <v>0</v>
      </c>
      <c r="F14" s="14">
        <f>D14*E14</f>
        <v>0</v>
      </c>
    </row>
    <row r="15" spans="1:10" x14ac:dyDescent="0.25">
      <c r="A15" s="10">
        <v>4</v>
      </c>
      <c r="B15" s="140" t="s">
        <v>56</v>
      </c>
      <c r="C15" s="141" t="s">
        <v>56</v>
      </c>
      <c r="D15" s="106">
        <v>0.05</v>
      </c>
      <c r="E15" s="52">
        <f>F12+F13</f>
        <v>0</v>
      </c>
      <c r="F15" s="14">
        <f t="shared" si="0"/>
        <v>0</v>
      </c>
    </row>
    <row r="16" spans="1:10" x14ac:dyDescent="0.25">
      <c r="A16" s="10">
        <v>5</v>
      </c>
      <c r="B16" s="140" t="s">
        <v>53</v>
      </c>
      <c r="C16" s="141" t="s">
        <v>53</v>
      </c>
      <c r="D16" s="105">
        <f>D12</f>
        <v>0</v>
      </c>
      <c r="E16" s="57"/>
      <c r="F16" s="14">
        <f t="shared" si="0"/>
        <v>0</v>
      </c>
    </row>
    <row r="17" spans="1:6" x14ac:dyDescent="0.25">
      <c r="A17" s="10">
        <v>6</v>
      </c>
      <c r="B17" s="140" t="s">
        <v>72</v>
      </c>
      <c r="C17" s="141" t="s">
        <v>72</v>
      </c>
      <c r="D17" s="105">
        <f>D12</f>
        <v>0</v>
      </c>
      <c r="E17" s="57"/>
      <c r="F17" s="14">
        <f t="shared" si="0"/>
        <v>0</v>
      </c>
    </row>
    <row r="18" spans="1:6" x14ac:dyDescent="0.25">
      <c r="A18" s="10">
        <v>7</v>
      </c>
      <c r="B18" s="140" t="s">
        <v>71</v>
      </c>
      <c r="C18" s="141" t="s">
        <v>71</v>
      </c>
      <c r="D18" s="105">
        <v>0</v>
      </c>
      <c r="E18" s="57"/>
      <c r="F18" s="14">
        <f t="shared" si="0"/>
        <v>0</v>
      </c>
    </row>
    <row r="19" spans="1:6" x14ac:dyDescent="0.25">
      <c r="A19" s="10">
        <v>8</v>
      </c>
      <c r="B19" s="140" t="s">
        <v>25</v>
      </c>
      <c r="C19" s="141" t="s">
        <v>25</v>
      </c>
      <c r="D19" s="105">
        <f>D12</f>
        <v>0</v>
      </c>
      <c r="E19" s="57"/>
      <c r="F19" s="14">
        <f t="shared" si="0"/>
        <v>0</v>
      </c>
    </row>
    <row r="20" spans="1:6" x14ac:dyDescent="0.25">
      <c r="A20" s="10">
        <v>9</v>
      </c>
      <c r="B20" s="140" t="s">
        <v>60</v>
      </c>
      <c r="C20" s="141" t="s">
        <v>60</v>
      </c>
      <c r="D20" s="105">
        <f>D12</f>
        <v>0</v>
      </c>
      <c r="E20" s="57"/>
      <c r="F20" s="14">
        <f t="shared" si="0"/>
        <v>0</v>
      </c>
    </row>
    <row r="21" spans="1:6" x14ac:dyDescent="0.25">
      <c r="A21" s="10">
        <v>10</v>
      </c>
      <c r="B21" s="140" t="s">
        <v>59</v>
      </c>
      <c r="C21" s="141" t="s">
        <v>59</v>
      </c>
      <c r="D21" s="105">
        <f>D12</f>
        <v>0</v>
      </c>
      <c r="E21" s="57"/>
      <c r="F21" s="14">
        <f t="shared" si="0"/>
        <v>0</v>
      </c>
    </row>
    <row r="22" spans="1:6" x14ac:dyDescent="0.25">
      <c r="A22" s="10">
        <v>11</v>
      </c>
      <c r="B22" s="140" t="s">
        <v>65</v>
      </c>
      <c r="C22" s="141" t="s">
        <v>65</v>
      </c>
      <c r="D22" s="105">
        <f>D12</f>
        <v>0</v>
      </c>
      <c r="E22" s="57"/>
      <c r="F22" s="14">
        <f t="shared" si="0"/>
        <v>0</v>
      </c>
    </row>
    <row r="23" spans="1:6" x14ac:dyDescent="0.25">
      <c r="A23" s="10">
        <v>12</v>
      </c>
      <c r="B23" s="140" t="s">
        <v>66</v>
      </c>
      <c r="C23" s="141" t="s">
        <v>66</v>
      </c>
      <c r="D23" s="105">
        <f>D12</f>
        <v>0</v>
      </c>
      <c r="E23" s="57"/>
      <c r="F23" s="14">
        <f t="shared" si="0"/>
        <v>0</v>
      </c>
    </row>
    <row r="24" spans="1:6" x14ac:dyDescent="0.25">
      <c r="A24" s="10">
        <v>13</v>
      </c>
      <c r="B24" s="140" t="s">
        <v>73</v>
      </c>
      <c r="C24" s="141" t="s">
        <v>73</v>
      </c>
      <c r="D24" s="105">
        <f>D12</f>
        <v>0</v>
      </c>
      <c r="E24" s="57"/>
      <c r="F24" s="14">
        <f t="shared" si="0"/>
        <v>0</v>
      </c>
    </row>
    <row r="25" spans="1:6" x14ac:dyDescent="0.25">
      <c r="A25" s="10">
        <v>14</v>
      </c>
      <c r="B25" s="140" t="s">
        <v>67</v>
      </c>
      <c r="C25" s="141" t="s">
        <v>67</v>
      </c>
      <c r="D25" s="105">
        <f>D12</f>
        <v>0</v>
      </c>
      <c r="E25" s="57"/>
      <c r="F25" s="14">
        <f t="shared" si="0"/>
        <v>0</v>
      </c>
    </row>
    <row r="26" spans="1:6" x14ac:dyDescent="0.25">
      <c r="A26" s="10">
        <v>15</v>
      </c>
      <c r="B26" s="140" t="s">
        <v>57</v>
      </c>
      <c r="C26" s="141" t="s">
        <v>57</v>
      </c>
      <c r="D26" s="105">
        <f>D12</f>
        <v>0</v>
      </c>
      <c r="E26" s="57"/>
      <c r="F26" s="14">
        <f t="shared" si="0"/>
        <v>0</v>
      </c>
    </row>
    <row r="27" spans="1:6" x14ac:dyDescent="0.25">
      <c r="A27" s="10">
        <v>16</v>
      </c>
      <c r="B27" s="140" t="s">
        <v>58</v>
      </c>
      <c r="C27" s="141" t="s">
        <v>58</v>
      </c>
      <c r="D27" s="105">
        <f>D12</f>
        <v>0</v>
      </c>
      <c r="E27" s="57"/>
      <c r="F27" s="14">
        <f t="shared" si="0"/>
        <v>0</v>
      </c>
    </row>
    <row r="28" spans="1:6" x14ac:dyDescent="0.25">
      <c r="A28" s="10">
        <v>17</v>
      </c>
      <c r="B28" s="140" t="s">
        <v>61</v>
      </c>
      <c r="C28" s="141" t="s">
        <v>61</v>
      </c>
      <c r="D28" s="105">
        <f>D12</f>
        <v>0</v>
      </c>
      <c r="E28" s="57"/>
      <c r="F28" s="14">
        <f t="shared" si="0"/>
        <v>0</v>
      </c>
    </row>
    <row r="29" spans="1:6" x14ac:dyDescent="0.25">
      <c r="A29" s="10">
        <v>18</v>
      </c>
      <c r="B29" s="140" t="s">
        <v>62</v>
      </c>
      <c r="C29" s="141" t="s">
        <v>62</v>
      </c>
      <c r="D29" s="105">
        <f>D12</f>
        <v>0</v>
      </c>
      <c r="E29" s="57"/>
      <c r="F29" s="14">
        <f t="shared" si="0"/>
        <v>0</v>
      </c>
    </row>
    <row r="30" spans="1:6" x14ac:dyDescent="0.25">
      <c r="A30" s="10">
        <v>19</v>
      </c>
      <c r="B30" s="140" t="s">
        <v>63</v>
      </c>
      <c r="C30" s="141" t="s">
        <v>63</v>
      </c>
      <c r="D30" s="106">
        <v>0</v>
      </c>
      <c r="E30" s="60">
        <f>F12</f>
        <v>0</v>
      </c>
      <c r="F30" s="59">
        <f t="shared" si="0"/>
        <v>0</v>
      </c>
    </row>
    <row r="31" spans="1:6" x14ac:dyDescent="0.25">
      <c r="A31" s="10">
        <v>20</v>
      </c>
      <c r="B31" s="140" t="s">
        <v>70</v>
      </c>
      <c r="C31" s="141" t="s">
        <v>70</v>
      </c>
      <c r="D31" s="105">
        <v>0.01</v>
      </c>
      <c r="E31" s="61">
        <v>0</v>
      </c>
      <c r="F31" s="14">
        <f t="shared" si="0"/>
        <v>0</v>
      </c>
    </row>
    <row r="32" spans="1:6" ht="14.4" thickBot="1" x14ac:dyDescent="0.3">
      <c r="A32" s="15"/>
      <c r="D32" s="9"/>
      <c r="E32" s="13"/>
      <c r="F32" s="13"/>
    </row>
    <row r="33" spans="3:6" x14ac:dyDescent="0.25">
      <c r="C33" s="136" t="s">
        <v>89</v>
      </c>
      <c r="D33" s="137"/>
      <c r="E33" s="142">
        <f>SUM(F12:F31)</f>
        <v>0</v>
      </c>
      <c r="F33" s="143"/>
    </row>
    <row r="34" spans="3:6" ht="14.4" thickBot="1" x14ac:dyDescent="0.3">
      <c r="C34" s="138" t="s">
        <v>90</v>
      </c>
      <c r="D34" s="139"/>
      <c r="E34" s="134">
        <f>IF(E33&gt;0,E33/D12,0)</f>
        <v>0</v>
      </c>
      <c r="F34" s="135"/>
    </row>
    <row r="35" spans="3:6" x14ac:dyDescent="0.25">
      <c r="C35" s="7"/>
      <c r="D35" s="8"/>
      <c r="E35" s="6"/>
      <c r="F35" s="12"/>
    </row>
    <row r="36" spans="3:6" x14ac:dyDescent="0.25">
      <c r="C36" s="7"/>
      <c r="D36" s="8"/>
      <c r="E36" s="6"/>
      <c r="F36" s="6"/>
    </row>
    <row r="37" spans="3:6" x14ac:dyDescent="0.25">
      <c r="C37" s="7"/>
      <c r="D37" s="8"/>
      <c r="E37" s="6"/>
      <c r="F37" s="6"/>
    </row>
    <row r="38" spans="3:6" x14ac:dyDescent="0.25">
      <c r="C38" s="7"/>
      <c r="D38" s="8"/>
      <c r="E38" s="6"/>
      <c r="F38" s="6"/>
    </row>
    <row r="39" spans="3:6" x14ac:dyDescent="0.25">
      <c r="C39" s="7"/>
      <c r="D39" s="8"/>
      <c r="E39" s="6"/>
      <c r="F39" s="6"/>
    </row>
    <row r="40" spans="3:6" x14ac:dyDescent="0.25">
      <c r="C40" s="7"/>
      <c r="D40" s="8"/>
      <c r="E40" s="6"/>
      <c r="F40" s="6"/>
    </row>
    <row r="41" spans="3:6" x14ac:dyDescent="0.25">
      <c r="C41" s="7"/>
      <c r="D41" s="8"/>
      <c r="E41" s="6"/>
      <c r="F41" s="6"/>
    </row>
    <row r="42" spans="3:6" x14ac:dyDescent="0.25">
      <c r="C42" s="7"/>
      <c r="D42" s="8"/>
      <c r="E42" s="6"/>
      <c r="F42" s="6"/>
    </row>
    <row r="43" spans="3:6" x14ac:dyDescent="0.25">
      <c r="C43" s="7"/>
      <c r="D43" s="8"/>
      <c r="E43" s="6"/>
      <c r="F43" s="6"/>
    </row>
    <row r="44" spans="3:6" x14ac:dyDescent="0.25">
      <c r="C44" s="7"/>
      <c r="D44" s="8"/>
      <c r="E44" s="6"/>
      <c r="F44" s="6"/>
    </row>
    <row r="45" spans="3:6" x14ac:dyDescent="0.25">
      <c r="C45" s="7"/>
      <c r="D45" s="8"/>
      <c r="E45" s="6"/>
      <c r="F45" s="6"/>
    </row>
    <row r="46" spans="3:6" x14ac:dyDescent="0.25">
      <c r="C46" s="7"/>
      <c r="D46" s="8"/>
      <c r="E46" s="6"/>
      <c r="F46" s="6"/>
    </row>
    <row r="47" spans="3:6" x14ac:dyDescent="0.25">
      <c r="C47" s="7"/>
      <c r="D47" s="8"/>
      <c r="E47" s="6"/>
      <c r="F47" s="6"/>
    </row>
    <row r="48" spans="3:6" x14ac:dyDescent="0.25">
      <c r="C48" s="7"/>
      <c r="D48" s="8"/>
      <c r="E48" s="6"/>
      <c r="F48" s="6"/>
    </row>
    <row r="49" spans="3:6" x14ac:dyDescent="0.25">
      <c r="C49" s="7"/>
      <c r="D49" s="8"/>
      <c r="E49" s="6"/>
      <c r="F49" s="6"/>
    </row>
    <row r="50" spans="3:6" x14ac:dyDescent="0.25">
      <c r="C50" s="7"/>
      <c r="D50" s="8"/>
      <c r="E50" s="6"/>
      <c r="F50" s="6"/>
    </row>
    <row r="51" spans="3:6" x14ac:dyDescent="0.25">
      <c r="C51" s="7"/>
      <c r="D51" s="8"/>
      <c r="E51" s="6"/>
      <c r="F51" s="6"/>
    </row>
    <row r="52" spans="3:6" x14ac:dyDescent="0.25">
      <c r="C52" s="7"/>
      <c r="D52" s="8"/>
      <c r="E52" s="6"/>
      <c r="F52" s="6"/>
    </row>
    <row r="53" spans="3:6" x14ac:dyDescent="0.25">
      <c r="C53" s="7"/>
      <c r="D53" s="8"/>
      <c r="E53" s="6"/>
      <c r="F53" s="6"/>
    </row>
    <row r="54" spans="3:6" x14ac:dyDescent="0.25">
      <c r="C54" s="7"/>
      <c r="D54" s="8"/>
      <c r="E54" s="6"/>
      <c r="F54" s="6"/>
    </row>
    <row r="55" spans="3:6" x14ac:dyDescent="0.25">
      <c r="C55" s="7"/>
      <c r="D55" s="8"/>
      <c r="E55" s="6"/>
      <c r="F55" s="6"/>
    </row>
    <row r="56" spans="3:6" x14ac:dyDescent="0.25">
      <c r="C56" s="7"/>
      <c r="D56" s="8"/>
      <c r="E56" s="6"/>
      <c r="F56" s="6"/>
    </row>
    <row r="57" spans="3:6" x14ac:dyDescent="0.25">
      <c r="C57" s="7"/>
      <c r="D57" s="8"/>
      <c r="E57" s="6"/>
      <c r="F57" s="6"/>
    </row>
    <row r="58" spans="3:6" x14ac:dyDescent="0.25">
      <c r="C58" s="7"/>
      <c r="D58" s="8"/>
      <c r="E58" s="6"/>
      <c r="F58" s="6"/>
    </row>
    <row r="59" spans="3:6" x14ac:dyDescent="0.25">
      <c r="C59" s="7"/>
      <c r="D59" s="8"/>
      <c r="E59" s="6"/>
      <c r="F59" s="6"/>
    </row>
    <row r="60" spans="3:6" x14ac:dyDescent="0.25">
      <c r="C60" s="7"/>
      <c r="D60" s="8"/>
      <c r="E60" s="6"/>
      <c r="F60" s="6"/>
    </row>
    <row r="61" spans="3:6" x14ac:dyDescent="0.25">
      <c r="C61" s="7"/>
      <c r="D61" s="8"/>
      <c r="E61" s="6"/>
      <c r="F61" s="6"/>
    </row>
    <row r="62" spans="3:6" x14ac:dyDescent="0.25">
      <c r="C62" s="7"/>
      <c r="D62" s="8"/>
      <c r="E62" s="6"/>
      <c r="F62" s="6"/>
    </row>
    <row r="63" spans="3:6" x14ac:dyDescent="0.25">
      <c r="C63" s="7"/>
      <c r="D63" s="8"/>
      <c r="E63" s="6"/>
      <c r="F63" s="6"/>
    </row>
    <row r="64" spans="3:6" x14ac:dyDescent="0.25">
      <c r="C64" s="7"/>
      <c r="D64" s="8"/>
      <c r="E64" s="6"/>
      <c r="F64" s="6"/>
    </row>
    <row r="65" spans="3:6" x14ac:dyDescent="0.25">
      <c r="C65" s="7"/>
      <c r="D65" s="8"/>
      <c r="E65" s="6"/>
      <c r="F65" s="6"/>
    </row>
    <row r="66" spans="3:6" x14ac:dyDescent="0.25">
      <c r="C66" s="7"/>
      <c r="D66" s="6"/>
      <c r="E66" s="6"/>
      <c r="F66" s="6"/>
    </row>
    <row r="67" spans="3:6" x14ac:dyDescent="0.25">
      <c r="C67" s="7"/>
      <c r="D67" s="6"/>
      <c r="E67" s="6"/>
      <c r="F67" s="6"/>
    </row>
    <row r="68" spans="3:6" x14ac:dyDescent="0.25">
      <c r="C68" s="7"/>
      <c r="D68" s="6"/>
      <c r="E68" s="6"/>
      <c r="F68" s="6"/>
    </row>
    <row r="69" spans="3:6" x14ac:dyDescent="0.25">
      <c r="C69" s="7"/>
      <c r="D69" s="6"/>
      <c r="E69" s="6"/>
      <c r="F69" s="6"/>
    </row>
    <row r="70" spans="3:6" x14ac:dyDescent="0.25">
      <c r="C70" s="7"/>
      <c r="D70" s="6"/>
      <c r="E70" s="6"/>
      <c r="F70" s="6"/>
    </row>
    <row r="71" spans="3:6" x14ac:dyDescent="0.25">
      <c r="C71" s="7"/>
      <c r="D71" s="6"/>
      <c r="E71" s="6"/>
      <c r="F71" s="6"/>
    </row>
    <row r="72" spans="3:6" x14ac:dyDescent="0.25">
      <c r="C72" s="7"/>
      <c r="D72" s="6"/>
      <c r="E72" s="6"/>
      <c r="F72" s="6"/>
    </row>
    <row r="73" spans="3:6" x14ac:dyDescent="0.25">
      <c r="C73" s="7"/>
      <c r="D73" s="6"/>
      <c r="E73" s="6"/>
      <c r="F73" s="6"/>
    </row>
    <row r="74" spans="3:6" x14ac:dyDescent="0.25">
      <c r="C74" s="7"/>
      <c r="D74" s="6"/>
      <c r="E74" s="6"/>
      <c r="F74" s="6"/>
    </row>
    <row r="75" spans="3:6" x14ac:dyDescent="0.25">
      <c r="C75" s="7"/>
      <c r="D75" s="6"/>
      <c r="E75" s="6"/>
      <c r="F75" s="6"/>
    </row>
    <row r="76" spans="3:6" x14ac:dyDescent="0.25">
      <c r="C76" s="7"/>
      <c r="D76" s="6"/>
      <c r="E76" s="6"/>
      <c r="F76" s="6"/>
    </row>
    <row r="77" spans="3:6" x14ac:dyDescent="0.25">
      <c r="C77" s="7"/>
      <c r="D77" s="6"/>
      <c r="E77" s="6"/>
      <c r="F77" s="6"/>
    </row>
    <row r="78" spans="3:6" x14ac:dyDescent="0.25">
      <c r="C78" s="7"/>
      <c r="D78" s="6"/>
      <c r="E78" s="6"/>
      <c r="F78" s="6"/>
    </row>
    <row r="79" spans="3:6" x14ac:dyDescent="0.25">
      <c r="C79" s="7"/>
      <c r="D79" s="6"/>
      <c r="E79" s="6"/>
      <c r="F79" s="6"/>
    </row>
    <row r="80" spans="3:6" x14ac:dyDescent="0.25">
      <c r="C80" s="7"/>
      <c r="D80" s="6"/>
      <c r="E80" s="6"/>
      <c r="F80" s="6"/>
    </row>
    <row r="81" spans="3:6" x14ac:dyDescent="0.25">
      <c r="C81" s="7"/>
      <c r="D81" s="6"/>
      <c r="E81" s="6"/>
      <c r="F81" s="6"/>
    </row>
    <row r="82" spans="3:6" x14ac:dyDescent="0.25">
      <c r="C82" s="7"/>
      <c r="D82" s="6"/>
      <c r="E82" s="6"/>
      <c r="F82" s="6"/>
    </row>
    <row r="83" spans="3:6" x14ac:dyDescent="0.25">
      <c r="C83" s="7"/>
      <c r="D83" s="6"/>
      <c r="E83" s="6"/>
      <c r="F83" s="6"/>
    </row>
    <row r="84" spans="3:6" x14ac:dyDescent="0.25">
      <c r="C84" s="7"/>
      <c r="D84" s="6"/>
      <c r="E84" s="6"/>
      <c r="F84" s="6"/>
    </row>
    <row r="85" spans="3:6" x14ac:dyDescent="0.25">
      <c r="C85" s="7"/>
      <c r="D85" s="6"/>
      <c r="E85" s="6"/>
      <c r="F85" s="6"/>
    </row>
    <row r="86" spans="3:6" x14ac:dyDescent="0.25">
      <c r="C86" s="7"/>
      <c r="D86" s="6"/>
      <c r="E86" s="6"/>
      <c r="F86" s="6"/>
    </row>
    <row r="87" spans="3:6" x14ac:dyDescent="0.25">
      <c r="C87" s="7"/>
      <c r="D87" s="6"/>
      <c r="E87" s="6"/>
      <c r="F87" s="6"/>
    </row>
    <row r="88" spans="3:6" x14ac:dyDescent="0.25">
      <c r="C88" s="7"/>
      <c r="D88" s="6"/>
      <c r="E88" s="6"/>
      <c r="F88" s="6"/>
    </row>
    <row r="89" spans="3:6" x14ac:dyDescent="0.25">
      <c r="C89" s="7"/>
      <c r="D89" s="6"/>
      <c r="E89" s="6"/>
      <c r="F89" s="6"/>
    </row>
    <row r="90" spans="3:6" x14ac:dyDescent="0.25">
      <c r="C90" s="7"/>
      <c r="D90" s="6"/>
      <c r="E90" s="6"/>
      <c r="F90" s="6"/>
    </row>
    <row r="91" spans="3:6" x14ac:dyDescent="0.25">
      <c r="C91" s="7"/>
      <c r="D91" s="6"/>
      <c r="E91" s="6"/>
      <c r="F91" s="6"/>
    </row>
    <row r="92" spans="3:6" x14ac:dyDescent="0.25">
      <c r="C92" s="7"/>
      <c r="D92" s="6"/>
      <c r="E92" s="6"/>
      <c r="F92" s="6"/>
    </row>
    <row r="93" spans="3:6" x14ac:dyDescent="0.25">
      <c r="C93" s="7"/>
      <c r="D93" s="6"/>
      <c r="E93" s="6"/>
      <c r="F93" s="6"/>
    </row>
    <row r="94" spans="3:6" x14ac:dyDescent="0.25">
      <c r="C94" s="7"/>
      <c r="D94" s="6"/>
      <c r="E94" s="6"/>
      <c r="F94" s="6"/>
    </row>
    <row r="95" spans="3:6" x14ac:dyDescent="0.25">
      <c r="C95" s="7"/>
      <c r="D95" s="7"/>
      <c r="E95" s="7"/>
      <c r="F95" s="7"/>
    </row>
    <row r="96" spans="3:6" x14ac:dyDescent="0.25">
      <c r="C96" s="7"/>
      <c r="D96" s="7"/>
      <c r="E96" s="7"/>
      <c r="F96" s="7"/>
    </row>
    <row r="97" spans="3:6" x14ac:dyDescent="0.25">
      <c r="C97" s="7"/>
      <c r="D97" s="7"/>
      <c r="E97" s="7"/>
      <c r="F97" s="7"/>
    </row>
    <row r="98" spans="3:6" x14ac:dyDescent="0.25">
      <c r="C98" s="7"/>
      <c r="D98" s="7"/>
      <c r="E98" s="7"/>
      <c r="F98" s="7"/>
    </row>
    <row r="99" spans="3:6" x14ac:dyDescent="0.25">
      <c r="C99" s="7"/>
      <c r="D99" s="7"/>
      <c r="E99" s="7"/>
      <c r="F99" s="7"/>
    </row>
    <row r="100" spans="3:6" x14ac:dyDescent="0.25">
      <c r="C100" s="7"/>
      <c r="D100" s="7"/>
      <c r="E100" s="7"/>
      <c r="F100" s="7"/>
    </row>
    <row r="101" spans="3:6" x14ac:dyDescent="0.25">
      <c r="C101" s="7"/>
      <c r="D101" s="7"/>
      <c r="E101" s="7"/>
      <c r="F101" s="7"/>
    </row>
    <row r="102" spans="3:6" x14ac:dyDescent="0.25">
      <c r="C102" s="7"/>
      <c r="D102" s="7"/>
      <c r="E102" s="7"/>
      <c r="F102" s="7"/>
    </row>
    <row r="103" spans="3:6" x14ac:dyDescent="0.25">
      <c r="C103" s="7"/>
      <c r="D103" s="7"/>
      <c r="E103" s="7"/>
      <c r="F103" s="7"/>
    </row>
    <row r="104" spans="3:6" x14ac:dyDescent="0.25">
      <c r="C104" s="7"/>
      <c r="D104" s="7"/>
      <c r="E104" s="7"/>
      <c r="F104" s="7"/>
    </row>
    <row r="105" spans="3:6" x14ac:dyDescent="0.25">
      <c r="C105" s="7"/>
      <c r="D105" s="7"/>
      <c r="E105" s="7"/>
      <c r="F105" s="7"/>
    </row>
    <row r="106" spans="3:6" x14ac:dyDescent="0.25">
      <c r="C106" s="7"/>
      <c r="D106" s="7"/>
      <c r="E106" s="7"/>
      <c r="F106" s="7"/>
    </row>
    <row r="107" spans="3:6" x14ac:dyDescent="0.25">
      <c r="C107" s="7"/>
      <c r="D107" s="7"/>
      <c r="E107" s="7"/>
      <c r="F107" s="7"/>
    </row>
    <row r="108" spans="3:6" x14ac:dyDescent="0.25">
      <c r="C108" s="7"/>
      <c r="D108" s="7"/>
      <c r="E108" s="7"/>
      <c r="F108" s="7"/>
    </row>
    <row r="109" spans="3:6" x14ac:dyDescent="0.25">
      <c r="C109" s="7"/>
      <c r="D109" s="7"/>
      <c r="E109" s="7"/>
      <c r="F109" s="7"/>
    </row>
    <row r="110" spans="3:6" x14ac:dyDescent="0.25">
      <c r="C110" s="7"/>
      <c r="D110" s="7"/>
      <c r="E110" s="7"/>
      <c r="F110" s="7"/>
    </row>
    <row r="111" spans="3:6" x14ac:dyDescent="0.25">
      <c r="C111" s="7"/>
      <c r="D111" s="7"/>
      <c r="E111" s="7"/>
      <c r="F111" s="7"/>
    </row>
    <row r="112" spans="3:6" x14ac:dyDescent="0.25">
      <c r="C112" s="7"/>
      <c r="D112" s="7"/>
      <c r="E112" s="7"/>
      <c r="F112" s="7"/>
    </row>
    <row r="113" spans="3:6" x14ac:dyDescent="0.25">
      <c r="C113" s="7"/>
      <c r="D113" s="7"/>
      <c r="E113" s="7"/>
      <c r="F113" s="7"/>
    </row>
    <row r="114" spans="3:6" x14ac:dyDescent="0.25">
      <c r="C114" s="7"/>
      <c r="D114" s="7"/>
      <c r="E114" s="7"/>
      <c r="F114" s="7"/>
    </row>
    <row r="115" spans="3:6" x14ac:dyDescent="0.25">
      <c r="C115" s="7"/>
      <c r="D115" s="7"/>
      <c r="E115" s="7"/>
      <c r="F115" s="7"/>
    </row>
    <row r="116" spans="3:6" x14ac:dyDescent="0.25">
      <c r="C116" s="7"/>
      <c r="D116" s="7"/>
      <c r="E116" s="7"/>
      <c r="F116" s="7"/>
    </row>
    <row r="117" spans="3:6" x14ac:dyDescent="0.25">
      <c r="C117" s="7"/>
      <c r="D117" s="7"/>
      <c r="E117" s="7"/>
      <c r="F117" s="7"/>
    </row>
    <row r="118" spans="3:6" x14ac:dyDescent="0.25">
      <c r="C118" s="7"/>
      <c r="D118" s="7"/>
      <c r="E118" s="7"/>
      <c r="F118" s="7"/>
    </row>
    <row r="119" spans="3:6" x14ac:dyDescent="0.25">
      <c r="C119" s="7"/>
      <c r="D119" s="7"/>
      <c r="E119" s="7"/>
      <c r="F119" s="7"/>
    </row>
    <row r="120" spans="3:6" x14ac:dyDescent="0.25">
      <c r="C120" s="7"/>
      <c r="D120" s="7"/>
      <c r="E120" s="7"/>
      <c r="F120" s="7"/>
    </row>
    <row r="121" spans="3:6" x14ac:dyDescent="0.25">
      <c r="C121" s="7"/>
      <c r="D121" s="7"/>
      <c r="E121" s="7"/>
      <c r="F121" s="7"/>
    </row>
    <row r="122" spans="3:6" x14ac:dyDescent="0.25">
      <c r="C122" s="7"/>
      <c r="D122" s="7"/>
      <c r="E122" s="7"/>
      <c r="F122" s="7"/>
    </row>
    <row r="123" spans="3:6" x14ac:dyDescent="0.25">
      <c r="C123" s="7"/>
      <c r="D123" s="7"/>
      <c r="E123" s="7"/>
      <c r="F123" s="7"/>
    </row>
    <row r="124" spans="3:6" x14ac:dyDescent="0.25">
      <c r="C124" s="7"/>
      <c r="D124" s="7"/>
      <c r="E124" s="7"/>
      <c r="F124" s="7"/>
    </row>
    <row r="125" spans="3:6" x14ac:dyDescent="0.25">
      <c r="C125" s="7"/>
      <c r="D125" s="7"/>
      <c r="E125" s="7"/>
      <c r="F125" s="7"/>
    </row>
    <row r="126" spans="3:6" x14ac:dyDescent="0.25">
      <c r="C126" s="7"/>
      <c r="D126" s="7"/>
      <c r="E126" s="7"/>
      <c r="F126" s="7"/>
    </row>
    <row r="127" spans="3:6" x14ac:dyDescent="0.25">
      <c r="C127" s="7"/>
      <c r="D127" s="7"/>
      <c r="E127" s="7"/>
      <c r="F127" s="7"/>
    </row>
    <row r="128" spans="3:6" x14ac:dyDescent="0.25">
      <c r="C128" s="7"/>
      <c r="D128" s="7"/>
      <c r="E128" s="7"/>
      <c r="F128" s="7"/>
    </row>
    <row r="129" spans="3:6" x14ac:dyDescent="0.25">
      <c r="C129" s="7"/>
      <c r="D129" s="7"/>
      <c r="E129" s="7"/>
      <c r="F129" s="7"/>
    </row>
    <row r="130" spans="3:6" x14ac:dyDescent="0.25">
      <c r="C130" s="7"/>
      <c r="D130" s="7"/>
      <c r="E130" s="7"/>
      <c r="F130" s="7"/>
    </row>
    <row r="131" spans="3:6" x14ac:dyDescent="0.25">
      <c r="C131" s="7"/>
      <c r="D131" s="7"/>
      <c r="E131" s="7"/>
      <c r="F131" s="7"/>
    </row>
    <row r="132" spans="3:6" x14ac:dyDescent="0.25">
      <c r="C132" s="7"/>
      <c r="D132" s="7"/>
      <c r="E132" s="7"/>
      <c r="F132" s="7"/>
    </row>
    <row r="133" spans="3:6" x14ac:dyDescent="0.25">
      <c r="C133" s="7"/>
      <c r="D133" s="7"/>
      <c r="E133" s="7"/>
      <c r="F133" s="7"/>
    </row>
    <row r="134" spans="3:6" x14ac:dyDescent="0.25">
      <c r="C134" s="7"/>
      <c r="D134" s="7"/>
      <c r="E134" s="7"/>
      <c r="F134" s="7"/>
    </row>
    <row r="135" spans="3:6" x14ac:dyDescent="0.25">
      <c r="C135" s="7"/>
      <c r="D135" s="7"/>
      <c r="E135" s="7"/>
      <c r="F135" s="7"/>
    </row>
    <row r="136" spans="3:6" x14ac:dyDescent="0.25">
      <c r="C136" s="7"/>
      <c r="D136" s="7"/>
      <c r="E136" s="7"/>
      <c r="F136" s="7"/>
    </row>
    <row r="137" spans="3:6" x14ac:dyDescent="0.25">
      <c r="C137" s="7"/>
      <c r="D137" s="7"/>
      <c r="E137" s="7"/>
      <c r="F137" s="7"/>
    </row>
    <row r="138" spans="3:6" x14ac:dyDescent="0.25">
      <c r="C138" s="7"/>
      <c r="D138" s="7"/>
      <c r="E138" s="7"/>
      <c r="F138" s="7"/>
    </row>
    <row r="139" spans="3:6" x14ac:dyDescent="0.25">
      <c r="C139" s="7"/>
      <c r="D139" s="7"/>
      <c r="E139" s="7"/>
      <c r="F139" s="7"/>
    </row>
    <row r="140" spans="3:6" x14ac:dyDescent="0.25">
      <c r="C140" s="7"/>
      <c r="D140" s="7"/>
      <c r="E140" s="7"/>
      <c r="F140" s="7"/>
    </row>
    <row r="141" spans="3:6" x14ac:dyDescent="0.25">
      <c r="C141" s="7"/>
      <c r="D141" s="7"/>
      <c r="E141" s="7"/>
      <c r="F141" s="7"/>
    </row>
    <row r="142" spans="3:6" x14ac:dyDescent="0.25">
      <c r="C142" s="7"/>
      <c r="D142" s="7"/>
      <c r="E142" s="7"/>
      <c r="F142" s="7"/>
    </row>
    <row r="143" spans="3:6" x14ac:dyDescent="0.25">
      <c r="C143" s="7"/>
      <c r="D143" s="7"/>
      <c r="E143" s="7"/>
      <c r="F143" s="7"/>
    </row>
    <row r="144" spans="3:6" x14ac:dyDescent="0.25">
      <c r="C144" s="7"/>
      <c r="D144" s="7"/>
      <c r="E144" s="7"/>
      <c r="F144" s="7"/>
    </row>
    <row r="145" spans="3:6" x14ac:dyDescent="0.25">
      <c r="C145" s="7"/>
      <c r="D145" s="7"/>
      <c r="E145" s="7"/>
      <c r="F145" s="7"/>
    </row>
    <row r="146" spans="3:6" x14ac:dyDescent="0.25">
      <c r="C146" s="7"/>
      <c r="D146" s="7"/>
      <c r="E146" s="7"/>
      <c r="F146" s="7"/>
    </row>
    <row r="147" spans="3:6" x14ac:dyDescent="0.25">
      <c r="C147" s="7"/>
      <c r="D147" s="7"/>
      <c r="E147" s="7"/>
      <c r="F147" s="7"/>
    </row>
    <row r="148" spans="3:6" x14ac:dyDescent="0.25">
      <c r="C148" s="7"/>
      <c r="D148" s="7"/>
      <c r="E148" s="7"/>
      <c r="F148" s="7"/>
    </row>
    <row r="149" spans="3:6" x14ac:dyDescent="0.25">
      <c r="C149" s="7"/>
      <c r="D149" s="7"/>
      <c r="E149" s="7"/>
      <c r="F149" s="7"/>
    </row>
    <row r="150" spans="3:6" x14ac:dyDescent="0.25">
      <c r="C150" s="7"/>
      <c r="D150" s="7"/>
      <c r="E150" s="7"/>
      <c r="F150" s="7"/>
    </row>
    <row r="151" spans="3:6" x14ac:dyDescent="0.25">
      <c r="C151" s="7"/>
      <c r="D151" s="7"/>
      <c r="E151" s="7"/>
      <c r="F151" s="7"/>
    </row>
    <row r="152" spans="3:6" x14ac:dyDescent="0.25">
      <c r="C152" s="7"/>
      <c r="D152" s="7"/>
      <c r="E152" s="7"/>
      <c r="F152" s="7"/>
    </row>
    <row r="153" spans="3:6" x14ac:dyDescent="0.25">
      <c r="C153" s="7"/>
      <c r="D153" s="7"/>
      <c r="E153" s="7"/>
      <c r="F153" s="7"/>
    </row>
    <row r="154" spans="3:6" x14ac:dyDescent="0.25">
      <c r="C154" s="7"/>
      <c r="D154" s="7"/>
      <c r="E154" s="7"/>
      <c r="F154" s="7"/>
    </row>
    <row r="155" spans="3:6" x14ac:dyDescent="0.25">
      <c r="C155" s="7"/>
      <c r="D155" s="7"/>
      <c r="E155" s="7"/>
      <c r="F155" s="7"/>
    </row>
    <row r="156" spans="3:6" x14ac:dyDescent="0.25">
      <c r="C156" s="7"/>
      <c r="D156" s="7"/>
      <c r="E156" s="7"/>
      <c r="F156" s="7"/>
    </row>
    <row r="157" spans="3:6" x14ac:dyDescent="0.25">
      <c r="C157" s="7"/>
      <c r="D157" s="7"/>
      <c r="E157" s="7"/>
      <c r="F157" s="7"/>
    </row>
    <row r="158" spans="3:6" x14ac:dyDescent="0.25">
      <c r="C158" s="7"/>
      <c r="D158" s="7"/>
      <c r="E158" s="7"/>
      <c r="F158" s="7"/>
    </row>
    <row r="159" spans="3:6" x14ac:dyDescent="0.25">
      <c r="C159" s="7"/>
      <c r="D159" s="7"/>
      <c r="E159" s="7"/>
      <c r="F159" s="7"/>
    </row>
    <row r="160" spans="3:6" x14ac:dyDescent="0.25">
      <c r="C160" s="7"/>
      <c r="D160" s="7"/>
      <c r="E160" s="7"/>
      <c r="F160" s="7"/>
    </row>
    <row r="161" spans="3:6" x14ac:dyDescent="0.25">
      <c r="C161" s="7"/>
      <c r="D161" s="7"/>
      <c r="E161" s="7"/>
      <c r="F161" s="7"/>
    </row>
    <row r="162" spans="3:6" x14ac:dyDescent="0.25">
      <c r="C162" s="7"/>
      <c r="D162" s="7"/>
      <c r="E162" s="7"/>
      <c r="F162" s="7"/>
    </row>
    <row r="163" spans="3:6" x14ac:dyDescent="0.25">
      <c r="C163" s="7"/>
      <c r="D163" s="7"/>
      <c r="E163" s="7"/>
      <c r="F163" s="7"/>
    </row>
    <row r="164" spans="3:6" x14ac:dyDescent="0.25">
      <c r="C164" s="7"/>
      <c r="D164" s="7"/>
      <c r="E164" s="7"/>
      <c r="F164" s="7"/>
    </row>
    <row r="165" spans="3:6" x14ac:dyDescent="0.25">
      <c r="C165" s="7"/>
      <c r="D165" s="7"/>
      <c r="E165" s="7"/>
      <c r="F165" s="7"/>
    </row>
    <row r="166" spans="3:6" x14ac:dyDescent="0.25">
      <c r="C166" s="7"/>
      <c r="D166" s="7"/>
      <c r="E166" s="7"/>
      <c r="F166" s="7"/>
    </row>
    <row r="167" spans="3:6" x14ac:dyDescent="0.25">
      <c r="C167" s="7"/>
      <c r="D167" s="7"/>
      <c r="E167" s="7"/>
      <c r="F167" s="7"/>
    </row>
    <row r="168" spans="3:6" x14ac:dyDescent="0.25">
      <c r="C168" s="7"/>
      <c r="D168" s="7"/>
      <c r="E168" s="7"/>
      <c r="F168" s="7"/>
    </row>
    <row r="169" spans="3:6" x14ac:dyDescent="0.25">
      <c r="C169" s="7"/>
      <c r="D169" s="7"/>
      <c r="E169" s="7"/>
      <c r="F169" s="7"/>
    </row>
    <row r="170" spans="3:6" x14ac:dyDescent="0.25">
      <c r="C170" s="7"/>
      <c r="D170" s="7"/>
      <c r="E170" s="7"/>
      <c r="F170" s="7"/>
    </row>
    <row r="171" spans="3:6" x14ac:dyDescent="0.25">
      <c r="C171" s="7"/>
      <c r="D171" s="7"/>
      <c r="E171" s="7"/>
      <c r="F171" s="7"/>
    </row>
    <row r="172" spans="3:6" x14ac:dyDescent="0.25">
      <c r="C172" s="7"/>
      <c r="D172" s="7"/>
      <c r="E172" s="7"/>
      <c r="F172" s="7"/>
    </row>
    <row r="173" spans="3:6" x14ac:dyDescent="0.25">
      <c r="C173" s="7"/>
      <c r="D173" s="7"/>
      <c r="E173" s="7"/>
      <c r="F173" s="7"/>
    </row>
    <row r="174" spans="3:6" x14ac:dyDescent="0.25">
      <c r="C174" s="7"/>
      <c r="D174" s="7"/>
      <c r="E174" s="7"/>
      <c r="F174" s="7"/>
    </row>
    <row r="175" spans="3:6" x14ac:dyDescent="0.25">
      <c r="C175" s="7"/>
      <c r="D175" s="7"/>
      <c r="E175" s="7"/>
      <c r="F175" s="7"/>
    </row>
    <row r="176" spans="3:6" x14ac:dyDescent="0.25">
      <c r="C176" s="7"/>
      <c r="D176" s="7"/>
      <c r="E176" s="7"/>
      <c r="F176" s="7"/>
    </row>
    <row r="177" spans="3:6" x14ac:dyDescent="0.25">
      <c r="C177" s="7"/>
      <c r="D177" s="7"/>
      <c r="E177" s="7"/>
      <c r="F177" s="7"/>
    </row>
    <row r="178" spans="3:6" x14ac:dyDescent="0.25">
      <c r="C178" s="7"/>
      <c r="D178" s="7"/>
      <c r="E178" s="7"/>
      <c r="F178" s="7"/>
    </row>
    <row r="179" spans="3:6" x14ac:dyDescent="0.25">
      <c r="C179" s="7"/>
      <c r="D179" s="7"/>
      <c r="E179" s="7"/>
      <c r="F179" s="7"/>
    </row>
    <row r="180" spans="3:6" x14ac:dyDescent="0.25">
      <c r="C180" s="7"/>
      <c r="D180" s="7"/>
      <c r="E180" s="7"/>
      <c r="F180" s="7"/>
    </row>
    <row r="181" spans="3:6" x14ac:dyDescent="0.25">
      <c r="C181" s="7"/>
      <c r="D181" s="7"/>
      <c r="E181" s="7"/>
      <c r="F181" s="7"/>
    </row>
    <row r="182" spans="3:6" x14ac:dyDescent="0.25">
      <c r="C182" s="7"/>
      <c r="D182" s="7"/>
      <c r="E182" s="7"/>
      <c r="F182" s="7"/>
    </row>
    <row r="183" spans="3:6" x14ac:dyDescent="0.25">
      <c r="C183" s="7"/>
      <c r="D183" s="7"/>
      <c r="E183" s="7"/>
      <c r="F183" s="7"/>
    </row>
    <row r="184" spans="3:6" x14ac:dyDescent="0.25">
      <c r="C184" s="7"/>
      <c r="D184" s="7"/>
      <c r="E184" s="7"/>
      <c r="F184" s="7"/>
    </row>
    <row r="185" spans="3:6" x14ac:dyDescent="0.25">
      <c r="C185" s="7"/>
      <c r="D185" s="7"/>
      <c r="E185" s="7"/>
      <c r="F185" s="7"/>
    </row>
    <row r="186" spans="3:6" x14ac:dyDescent="0.25">
      <c r="C186" s="7"/>
      <c r="D186" s="7"/>
      <c r="E186" s="7"/>
      <c r="F186" s="7"/>
    </row>
    <row r="187" spans="3:6" x14ac:dyDescent="0.25">
      <c r="C187" s="7"/>
      <c r="D187" s="7"/>
      <c r="E187" s="7"/>
      <c r="F187" s="7"/>
    </row>
    <row r="188" spans="3:6" x14ac:dyDescent="0.25">
      <c r="C188" s="7"/>
      <c r="D188" s="7"/>
      <c r="E188" s="7"/>
      <c r="F188" s="7"/>
    </row>
    <row r="189" spans="3:6" x14ac:dyDescent="0.25">
      <c r="C189" s="7"/>
      <c r="D189" s="7"/>
      <c r="E189" s="7"/>
      <c r="F189" s="7"/>
    </row>
    <row r="190" spans="3:6" x14ac:dyDescent="0.25">
      <c r="C190" s="7"/>
      <c r="D190" s="7"/>
      <c r="E190" s="7"/>
      <c r="F190" s="7"/>
    </row>
    <row r="191" spans="3:6" x14ac:dyDescent="0.25">
      <c r="C191" s="7"/>
      <c r="D191" s="7"/>
      <c r="E191" s="7"/>
      <c r="F191" s="7"/>
    </row>
    <row r="192" spans="3:6" x14ac:dyDescent="0.25">
      <c r="C192" s="7"/>
      <c r="D192" s="7"/>
      <c r="E192" s="7"/>
      <c r="F192" s="7"/>
    </row>
    <row r="193" spans="3:6" x14ac:dyDescent="0.25">
      <c r="C193" s="7"/>
      <c r="D193" s="7"/>
      <c r="E193" s="7"/>
      <c r="F193" s="7"/>
    </row>
    <row r="194" spans="3:6" x14ac:dyDescent="0.25">
      <c r="C194" s="7"/>
      <c r="D194" s="7"/>
      <c r="E194" s="7"/>
      <c r="F194" s="7"/>
    </row>
    <row r="195" spans="3:6" x14ac:dyDescent="0.25">
      <c r="C195" s="7"/>
      <c r="D195" s="7"/>
      <c r="E195" s="7"/>
      <c r="F195" s="7"/>
    </row>
    <row r="196" spans="3:6" x14ac:dyDescent="0.25">
      <c r="C196" s="7"/>
      <c r="D196" s="7"/>
      <c r="E196" s="7"/>
      <c r="F196" s="7"/>
    </row>
    <row r="197" spans="3:6" x14ac:dyDescent="0.25">
      <c r="C197" s="7"/>
      <c r="D197" s="7"/>
      <c r="E197" s="7"/>
      <c r="F197" s="7"/>
    </row>
    <row r="198" spans="3:6" x14ac:dyDescent="0.25">
      <c r="C198" s="7"/>
      <c r="D198" s="7"/>
      <c r="E198" s="7"/>
      <c r="F198" s="7"/>
    </row>
    <row r="199" spans="3:6" x14ac:dyDescent="0.25">
      <c r="C199" s="7"/>
      <c r="D199" s="7"/>
      <c r="E199" s="7"/>
      <c r="F199" s="7"/>
    </row>
    <row r="200" spans="3:6" x14ac:dyDescent="0.25">
      <c r="C200" s="7"/>
      <c r="D200" s="7"/>
      <c r="E200" s="7"/>
      <c r="F200" s="7"/>
    </row>
    <row r="201" spans="3:6" x14ac:dyDescent="0.25">
      <c r="C201" s="7"/>
      <c r="D201" s="7"/>
      <c r="E201" s="7"/>
      <c r="F201" s="7"/>
    </row>
    <row r="202" spans="3:6" x14ac:dyDescent="0.25">
      <c r="C202" s="7"/>
      <c r="D202" s="7"/>
      <c r="E202" s="7"/>
      <c r="F202" s="7"/>
    </row>
    <row r="203" spans="3:6" x14ac:dyDescent="0.25">
      <c r="C203" s="7"/>
      <c r="D203" s="7"/>
      <c r="E203" s="7"/>
      <c r="F203" s="7"/>
    </row>
    <row r="204" spans="3:6" x14ac:dyDescent="0.25">
      <c r="C204" s="7"/>
      <c r="D204" s="7"/>
      <c r="E204" s="7"/>
      <c r="F204" s="7"/>
    </row>
    <row r="205" spans="3:6" x14ac:dyDescent="0.25">
      <c r="C205" s="7"/>
      <c r="D205" s="7"/>
      <c r="E205" s="7"/>
      <c r="F205" s="7"/>
    </row>
    <row r="206" spans="3:6" x14ac:dyDescent="0.25">
      <c r="C206" s="7"/>
      <c r="D206" s="7"/>
      <c r="E206" s="7"/>
      <c r="F206" s="7"/>
    </row>
    <row r="207" spans="3:6" x14ac:dyDescent="0.25">
      <c r="C207" s="7"/>
      <c r="D207" s="7"/>
      <c r="E207" s="7"/>
      <c r="F207" s="7"/>
    </row>
    <row r="208" spans="3:6" x14ac:dyDescent="0.25">
      <c r="C208" s="7"/>
      <c r="D208" s="7"/>
      <c r="E208" s="7"/>
      <c r="F208" s="7"/>
    </row>
    <row r="209" spans="3:6" x14ac:dyDescent="0.25">
      <c r="C209" s="7"/>
      <c r="D209" s="7"/>
      <c r="E209" s="7"/>
      <c r="F209" s="7"/>
    </row>
    <row r="210" spans="3:6" x14ac:dyDescent="0.25">
      <c r="C210" s="7"/>
      <c r="D210" s="7"/>
      <c r="E210" s="7"/>
      <c r="F210" s="7"/>
    </row>
    <row r="211" spans="3:6" x14ac:dyDescent="0.25">
      <c r="C211" s="7"/>
      <c r="D211" s="7"/>
      <c r="E211" s="7"/>
      <c r="F211" s="7"/>
    </row>
    <row r="212" spans="3:6" x14ac:dyDescent="0.25">
      <c r="C212" s="7"/>
      <c r="D212" s="7"/>
      <c r="E212" s="7"/>
      <c r="F212" s="7"/>
    </row>
    <row r="213" spans="3:6" x14ac:dyDescent="0.25">
      <c r="C213" s="7"/>
      <c r="D213" s="7"/>
      <c r="E213" s="7"/>
      <c r="F213" s="7"/>
    </row>
    <row r="214" spans="3:6" x14ac:dyDescent="0.25">
      <c r="C214" s="7"/>
      <c r="D214" s="7"/>
      <c r="E214" s="7"/>
      <c r="F214" s="7"/>
    </row>
    <row r="215" spans="3:6" x14ac:dyDescent="0.25">
      <c r="C215" s="7"/>
      <c r="D215" s="7"/>
      <c r="E215" s="7"/>
      <c r="F215" s="7"/>
    </row>
    <row r="216" spans="3:6" x14ac:dyDescent="0.25">
      <c r="C216" s="7"/>
      <c r="D216" s="7"/>
      <c r="E216" s="7"/>
      <c r="F216" s="7"/>
    </row>
    <row r="217" spans="3:6" x14ac:dyDescent="0.25">
      <c r="C217" s="7"/>
      <c r="D217" s="7"/>
      <c r="E217" s="7"/>
      <c r="F217" s="7"/>
    </row>
    <row r="218" spans="3:6" x14ac:dyDescent="0.25">
      <c r="C218" s="7"/>
      <c r="D218" s="7"/>
      <c r="E218" s="7"/>
      <c r="F218" s="7"/>
    </row>
    <row r="219" spans="3:6" x14ac:dyDescent="0.25">
      <c r="C219" s="7"/>
      <c r="D219" s="7"/>
      <c r="E219" s="7"/>
      <c r="F219" s="7"/>
    </row>
    <row r="220" spans="3:6" x14ac:dyDescent="0.25">
      <c r="C220" s="7"/>
      <c r="D220" s="7"/>
      <c r="E220" s="7"/>
      <c r="F220" s="7"/>
    </row>
    <row r="221" spans="3:6" x14ac:dyDescent="0.25">
      <c r="C221" s="7"/>
      <c r="D221" s="7"/>
      <c r="E221" s="7"/>
      <c r="F221" s="7"/>
    </row>
    <row r="222" spans="3:6" x14ac:dyDescent="0.25">
      <c r="C222" s="7"/>
      <c r="D222" s="7"/>
      <c r="E222" s="7"/>
      <c r="F222" s="7"/>
    </row>
    <row r="223" spans="3:6" x14ac:dyDescent="0.25">
      <c r="C223" s="7"/>
      <c r="D223" s="7"/>
      <c r="E223" s="7"/>
      <c r="F223" s="7"/>
    </row>
    <row r="224" spans="3:6" x14ac:dyDescent="0.25">
      <c r="C224" s="7"/>
      <c r="D224" s="7"/>
      <c r="E224" s="7"/>
      <c r="F224" s="7"/>
    </row>
    <row r="225" spans="3:6" x14ac:dyDescent="0.25">
      <c r="C225" s="7"/>
      <c r="D225" s="7"/>
      <c r="E225" s="7"/>
      <c r="F225" s="7"/>
    </row>
    <row r="226" spans="3:6" x14ac:dyDescent="0.25">
      <c r="C226" s="7"/>
      <c r="D226" s="7"/>
      <c r="E226" s="7"/>
      <c r="F226" s="7"/>
    </row>
    <row r="227" spans="3:6" x14ac:dyDescent="0.25">
      <c r="C227" s="7"/>
      <c r="D227" s="7"/>
      <c r="E227" s="7"/>
      <c r="F227" s="7"/>
    </row>
    <row r="228" spans="3:6" x14ac:dyDescent="0.25">
      <c r="C228" s="7"/>
      <c r="D228" s="7"/>
      <c r="E228" s="7"/>
      <c r="F228" s="7"/>
    </row>
    <row r="229" spans="3:6" x14ac:dyDescent="0.25">
      <c r="C229" s="7"/>
      <c r="D229" s="7"/>
      <c r="E229" s="7"/>
      <c r="F229" s="7"/>
    </row>
    <row r="230" spans="3:6" x14ac:dyDescent="0.25">
      <c r="C230" s="7"/>
      <c r="D230" s="7"/>
      <c r="E230" s="7"/>
      <c r="F230" s="7"/>
    </row>
    <row r="231" spans="3:6" x14ac:dyDescent="0.25">
      <c r="C231" s="7"/>
      <c r="D231" s="7"/>
      <c r="E231" s="7"/>
      <c r="F231" s="7"/>
    </row>
    <row r="232" spans="3:6" x14ac:dyDescent="0.25">
      <c r="C232" s="7"/>
      <c r="D232" s="7"/>
      <c r="E232" s="7"/>
      <c r="F232" s="7"/>
    </row>
    <row r="233" spans="3:6" x14ac:dyDescent="0.25">
      <c r="C233" s="7"/>
      <c r="D233" s="7"/>
      <c r="E233" s="7"/>
      <c r="F233" s="7"/>
    </row>
  </sheetData>
  <sheetProtection formatCells="0" formatColumns="0" formatRows="0" insertColumns="0" insertRows="0" insertHyperlinks="0" deleteColumns="0" deleteRows="0" sort="0" autoFilter="0" pivotTables="0"/>
  <mergeCells count="29">
    <mergeCell ref="B31:C31"/>
    <mergeCell ref="C33:D33"/>
    <mergeCell ref="E33:F33"/>
    <mergeCell ref="C34:D34"/>
    <mergeCell ref="E34:F34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8:C18"/>
    <mergeCell ref="A1:F1"/>
    <mergeCell ref="D6:E6"/>
    <mergeCell ref="D7:E7"/>
    <mergeCell ref="D8:E8"/>
    <mergeCell ref="B11:C11"/>
    <mergeCell ref="B12:C12"/>
    <mergeCell ref="B13:C13"/>
    <mergeCell ref="B14:C14"/>
    <mergeCell ref="B15:C15"/>
    <mergeCell ref="B16:C16"/>
    <mergeCell ref="B17:C1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FBCF1-F814-4E6E-9AD2-BFEEDD80201C}">
  <dimension ref="A1:J233"/>
  <sheetViews>
    <sheetView showGridLines="0" topLeftCell="A3" workbookViewId="0">
      <selection activeCell="D13" sqref="D13"/>
    </sheetView>
  </sheetViews>
  <sheetFormatPr defaultRowHeight="13.8" x14ac:dyDescent="0.25"/>
  <cols>
    <col min="1" max="1" width="4.69921875" style="6" customWidth="1"/>
    <col min="2" max="2" width="20.69921875" style="6" customWidth="1"/>
    <col min="3" max="3" width="20.69921875" customWidth="1"/>
    <col min="4" max="4" width="7.69921875" customWidth="1"/>
    <col min="5" max="6" width="15.296875" customWidth="1"/>
    <col min="9" max="9" width="13.296875" customWidth="1"/>
  </cols>
  <sheetData>
    <row r="1" spans="1:10" ht="18" x14ac:dyDescent="0.25">
      <c r="A1" s="126" t="s">
        <v>79</v>
      </c>
      <c r="B1" s="127"/>
      <c r="C1" s="127"/>
      <c r="D1" s="127"/>
      <c r="E1" s="127"/>
      <c r="F1" s="128"/>
    </row>
    <row r="2" spans="1:10" x14ac:dyDescent="0.25">
      <c r="A2" s="15"/>
      <c r="B2" s="63" t="s">
        <v>45</v>
      </c>
      <c r="C2" s="16"/>
      <c r="D2" s="16"/>
      <c r="E2" s="62" t="s">
        <v>80</v>
      </c>
      <c r="F2" s="21"/>
    </row>
    <row r="3" spans="1:10" x14ac:dyDescent="0.25">
      <c r="A3" s="15"/>
      <c r="B3" s="63" t="s">
        <v>33</v>
      </c>
      <c r="C3" s="16"/>
      <c r="E3" s="62" t="s">
        <v>34</v>
      </c>
      <c r="F3" s="50"/>
    </row>
    <row r="4" spans="1:10" ht="15.6" x14ac:dyDescent="0.3">
      <c r="A4" s="15"/>
      <c r="B4" s="63" t="s">
        <v>35</v>
      </c>
      <c r="C4" s="16"/>
      <c r="D4" s="17"/>
      <c r="E4" s="62" t="s">
        <v>37</v>
      </c>
      <c r="F4" s="51"/>
    </row>
    <row r="5" spans="1:10" ht="15.6" x14ac:dyDescent="0.3">
      <c r="A5" s="15"/>
      <c r="B5" s="16"/>
      <c r="C5" s="16"/>
      <c r="D5" s="1"/>
      <c r="E5" s="17"/>
      <c r="F5" s="18"/>
    </row>
    <row r="6" spans="1:10" ht="15.6" x14ac:dyDescent="0.3">
      <c r="A6" s="15"/>
      <c r="B6" s="63" t="s">
        <v>55</v>
      </c>
      <c r="C6" s="16"/>
      <c r="D6" s="144"/>
      <c r="E6" s="144"/>
      <c r="F6" s="18"/>
    </row>
    <row r="7" spans="1:10" ht="15.6" x14ac:dyDescent="0.3">
      <c r="A7" s="15"/>
      <c r="B7" s="63" t="s">
        <v>50</v>
      </c>
      <c r="C7" s="16"/>
      <c r="D7" s="145"/>
      <c r="E7" s="145"/>
      <c r="F7" s="18"/>
    </row>
    <row r="8" spans="1:10" ht="15.6" x14ac:dyDescent="0.3">
      <c r="A8" s="15"/>
      <c r="B8" s="63" t="s">
        <v>101</v>
      </c>
      <c r="C8" s="16"/>
      <c r="D8" s="146" t="s">
        <v>103</v>
      </c>
      <c r="E8" s="146"/>
      <c r="F8" s="19"/>
    </row>
    <row r="9" spans="1:10" x14ac:dyDescent="0.25">
      <c r="A9" s="15"/>
      <c r="F9" s="20"/>
    </row>
    <row r="10" spans="1:10" x14ac:dyDescent="0.25">
      <c r="A10" s="15"/>
      <c r="F10" s="20"/>
    </row>
    <row r="11" spans="1:10" x14ac:dyDescent="0.25">
      <c r="A11" s="10" t="s">
        <v>64</v>
      </c>
      <c r="B11" s="147" t="s">
        <v>46</v>
      </c>
      <c r="C11" s="148"/>
      <c r="D11" s="11" t="s">
        <v>47</v>
      </c>
      <c r="E11" s="11" t="s">
        <v>49</v>
      </c>
      <c r="F11" s="11" t="s">
        <v>48</v>
      </c>
      <c r="I11" s="55" t="s">
        <v>88</v>
      </c>
      <c r="J11" s="53">
        <v>1</v>
      </c>
    </row>
    <row r="12" spans="1:10" x14ac:dyDescent="0.25">
      <c r="A12" s="10">
        <v>1</v>
      </c>
      <c r="B12" s="140" t="s">
        <v>51</v>
      </c>
      <c r="C12" s="141"/>
      <c r="D12" s="105">
        <v>0</v>
      </c>
      <c r="E12" s="57">
        <v>1000</v>
      </c>
      <c r="F12" s="14">
        <f t="shared" ref="F12:F31" si="0">D12*E12</f>
        <v>0</v>
      </c>
      <c r="I12" s="56" t="s">
        <v>87</v>
      </c>
      <c r="J12" s="54">
        <v>1</v>
      </c>
    </row>
    <row r="13" spans="1:10" x14ac:dyDescent="0.25">
      <c r="A13" s="10">
        <v>2</v>
      </c>
      <c r="B13" s="140" t="s">
        <v>52</v>
      </c>
      <c r="C13" s="141" t="s">
        <v>52</v>
      </c>
      <c r="D13" s="106">
        <v>0.05</v>
      </c>
      <c r="E13" s="52">
        <f>D12*E12</f>
        <v>0</v>
      </c>
      <c r="F13" s="14">
        <f t="shared" si="0"/>
        <v>0</v>
      </c>
      <c r="I13" s="55" t="s">
        <v>86</v>
      </c>
      <c r="J13" s="28">
        <v>1</v>
      </c>
    </row>
    <row r="14" spans="1:10" x14ac:dyDescent="0.25">
      <c r="A14" s="10">
        <v>3</v>
      </c>
      <c r="B14" s="140" t="s">
        <v>54</v>
      </c>
      <c r="C14" s="141" t="s">
        <v>54</v>
      </c>
      <c r="D14" s="106">
        <v>0.05</v>
      </c>
      <c r="E14" s="52">
        <f>D12*E12</f>
        <v>0</v>
      </c>
      <c r="F14" s="14">
        <f>D14*E14</f>
        <v>0</v>
      </c>
    </row>
    <row r="15" spans="1:10" x14ac:dyDescent="0.25">
      <c r="A15" s="10">
        <v>4</v>
      </c>
      <c r="B15" s="140" t="s">
        <v>56</v>
      </c>
      <c r="C15" s="141" t="s">
        <v>56</v>
      </c>
      <c r="D15" s="106">
        <v>0.05</v>
      </c>
      <c r="E15" s="52">
        <f>F12+F13</f>
        <v>0</v>
      </c>
      <c r="F15" s="14">
        <f t="shared" si="0"/>
        <v>0</v>
      </c>
    </row>
    <row r="16" spans="1:10" x14ac:dyDescent="0.25">
      <c r="A16" s="10">
        <v>5</v>
      </c>
      <c r="B16" s="140" t="s">
        <v>53</v>
      </c>
      <c r="C16" s="141" t="s">
        <v>53</v>
      </c>
      <c r="D16" s="105">
        <f>D12</f>
        <v>0</v>
      </c>
      <c r="E16" s="57"/>
      <c r="F16" s="14">
        <f t="shared" si="0"/>
        <v>0</v>
      </c>
    </row>
    <row r="17" spans="1:6" x14ac:dyDescent="0.25">
      <c r="A17" s="10">
        <v>6</v>
      </c>
      <c r="B17" s="140" t="s">
        <v>72</v>
      </c>
      <c r="C17" s="141" t="s">
        <v>72</v>
      </c>
      <c r="D17" s="105">
        <f>D12</f>
        <v>0</v>
      </c>
      <c r="E17" s="57"/>
      <c r="F17" s="14">
        <f t="shared" si="0"/>
        <v>0</v>
      </c>
    </row>
    <row r="18" spans="1:6" x14ac:dyDescent="0.25">
      <c r="A18" s="10">
        <v>7</v>
      </c>
      <c r="B18" s="140" t="s">
        <v>71</v>
      </c>
      <c r="C18" s="141" t="s">
        <v>71</v>
      </c>
      <c r="D18" s="105">
        <v>0</v>
      </c>
      <c r="E18" s="57"/>
      <c r="F18" s="14">
        <f t="shared" si="0"/>
        <v>0</v>
      </c>
    </row>
    <row r="19" spans="1:6" x14ac:dyDescent="0.25">
      <c r="A19" s="10">
        <v>8</v>
      </c>
      <c r="B19" s="140" t="s">
        <v>25</v>
      </c>
      <c r="C19" s="141" t="s">
        <v>25</v>
      </c>
      <c r="D19" s="105">
        <f>D12</f>
        <v>0</v>
      </c>
      <c r="E19" s="57"/>
      <c r="F19" s="14">
        <f t="shared" si="0"/>
        <v>0</v>
      </c>
    </row>
    <row r="20" spans="1:6" x14ac:dyDescent="0.25">
      <c r="A20" s="10">
        <v>9</v>
      </c>
      <c r="B20" s="140" t="s">
        <v>60</v>
      </c>
      <c r="C20" s="141" t="s">
        <v>60</v>
      </c>
      <c r="D20" s="105">
        <f>D12</f>
        <v>0</v>
      </c>
      <c r="E20" s="57"/>
      <c r="F20" s="14">
        <f t="shared" si="0"/>
        <v>0</v>
      </c>
    </row>
    <row r="21" spans="1:6" x14ac:dyDescent="0.25">
      <c r="A21" s="10">
        <v>10</v>
      </c>
      <c r="B21" s="140" t="s">
        <v>59</v>
      </c>
      <c r="C21" s="141" t="s">
        <v>59</v>
      </c>
      <c r="D21" s="105">
        <f>D12</f>
        <v>0</v>
      </c>
      <c r="E21" s="57"/>
      <c r="F21" s="14">
        <f t="shared" si="0"/>
        <v>0</v>
      </c>
    </row>
    <row r="22" spans="1:6" x14ac:dyDescent="0.25">
      <c r="A22" s="10">
        <v>11</v>
      </c>
      <c r="B22" s="140" t="s">
        <v>65</v>
      </c>
      <c r="C22" s="141" t="s">
        <v>65</v>
      </c>
      <c r="D22" s="105">
        <f>D12</f>
        <v>0</v>
      </c>
      <c r="E22" s="57"/>
      <c r="F22" s="14">
        <f t="shared" si="0"/>
        <v>0</v>
      </c>
    </row>
    <row r="23" spans="1:6" x14ac:dyDescent="0.25">
      <c r="A23" s="10">
        <v>12</v>
      </c>
      <c r="B23" s="140" t="s">
        <v>66</v>
      </c>
      <c r="C23" s="141" t="s">
        <v>66</v>
      </c>
      <c r="D23" s="105">
        <f>D12</f>
        <v>0</v>
      </c>
      <c r="E23" s="57"/>
      <c r="F23" s="14">
        <f t="shared" si="0"/>
        <v>0</v>
      </c>
    </row>
    <row r="24" spans="1:6" x14ac:dyDescent="0.25">
      <c r="A24" s="10">
        <v>13</v>
      </c>
      <c r="B24" s="140" t="s">
        <v>73</v>
      </c>
      <c r="C24" s="141" t="s">
        <v>73</v>
      </c>
      <c r="D24" s="105">
        <f>D12</f>
        <v>0</v>
      </c>
      <c r="E24" s="57"/>
      <c r="F24" s="14">
        <f t="shared" si="0"/>
        <v>0</v>
      </c>
    </row>
    <row r="25" spans="1:6" x14ac:dyDescent="0.25">
      <c r="A25" s="10">
        <v>14</v>
      </c>
      <c r="B25" s="140" t="s">
        <v>67</v>
      </c>
      <c r="C25" s="141" t="s">
        <v>67</v>
      </c>
      <c r="D25" s="105">
        <f>D12</f>
        <v>0</v>
      </c>
      <c r="E25" s="57"/>
      <c r="F25" s="14">
        <f t="shared" si="0"/>
        <v>0</v>
      </c>
    </row>
    <row r="26" spans="1:6" x14ac:dyDescent="0.25">
      <c r="A26" s="10">
        <v>15</v>
      </c>
      <c r="B26" s="140" t="s">
        <v>57</v>
      </c>
      <c r="C26" s="141" t="s">
        <v>57</v>
      </c>
      <c r="D26" s="105">
        <f>D12</f>
        <v>0</v>
      </c>
      <c r="E26" s="57"/>
      <c r="F26" s="14">
        <f t="shared" si="0"/>
        <v>0</v>
      </c>
    </row>
    <row r="27" spans="1:6" x14ac:dyDescent="0.25">
      <c r="A27" s="10">
        <v>16</v>
      </c>
      <c r="B27" s="140" t="s">
        <v>58</v>
      </c>
      <c r="C27" s="141" t="s">
        <v>58</v>
      </c>
      <c r="D27" s="105">
        <f>D12</f>
        <v>0</v>
      </c>
      <c r="E27" s="57"/>
      <c r="F27" s="14">
        <f t="shared" si="0"/>
        <v>0</v>
      </c>
    </row>
    <row r="28" spans="1:6" x14ac:dyDescent="0.25">
      <c r="A28" s="10">
        <v>17</v>
      </c>
      <c r="B28" s="140" t="s">
        <v>61</v>
      </c>
      <c r="C28" s="141" t="s">
        <v>61</v>
      </c>
      <c r="D28" s="105">
        <f>D12</f>
        <v>0</v>
      </c>
      <c r="E28" s="57"/>
      <c r="F28" s="14">
        <f t="shared" si="0"/>
        <v>0</v>
      </c>
    </row>
    <row r="29" spans="1:6" x14ac:dyDescent="0.25">
      <c r="A29" s="10">
        <v>18</v>
      </c>
      <c r="B29" s="140" t="s">
        <v>62</v>
      </c>
      <c r="C29" s="141" t="s">
        <v>62</v>
      </c>
      <c r="D29" s="105">
        <f>D12</f>
        <v>0</v>
      </c>
      <c r="E29" s="57"/>
      <c r="F29" s="14">
        <f t="shared" si="0"/>
        <v>0</v>
      </c>
    </row>
    <row r="30" spans="1:6" x14ac:dyDescent="0.25">
      <c r="A30" s="10">
        <v>19</v>
      </c>
      <c r="B30" s="140" t="s">
        <v>63</v>
      </c>
      <c r="C30" s="141" t="s">
        <v>63</v>
      </c>
      <c r="D30" s="106">
        <v>0</v>
      </c>
      <c r="E30" s="60">
        <f>F12</f>
        <v>0</v>
      </c>
      <c r="F30" s="59">
        <f t="shared" si="0"/>
        <v>0</v>
      </c>
    </row>
    <row r="31" spans="1:6" x14ac:dyDescent="0.25">
      <c r="A31" s="10">
        <v>20</v>
      </c>
      <c r="B31" s="140" t="s">
        <v>70</v>
      </c>
      <c r="C31" s="141" t="s">
        <v>70</v>
      </c>
      <c r="D31" s="105">
        <v>0.01</v>
      </c>
      <c r="E31" s="61">
        <v>0</v>
      </c>
      <c r="F31" s="14">
        <f t="shared" si="0"/>
        <v>0</v>
      </c>
    </row>
    <row r="32" spans="1:6" ht="14.4" thickBot="1" x14ac:dyDescent="0.3">
      <c r="A32" s="15"/>
      <c r="D32" s="9"/>
      <c r="E32" s="13"/>
      <c r="F32" s="13"/>
    </row>
    <row r="33" spans="3:6" x14ac:dyDescent="0.25">
      <c r="C33" s="136" t="s">
        <v>89</v>
      </c>
      <c r="D33" s="137"/>
      <c r="E33" s="142">
        <f>SUM(F12:F31)</f>
        <v>0</v>
      </c>
      <c r="F33" s="143"/>
    </row>
    <row r="34" spans="3:6" ht="14.4" thickBot="1" x14ac:dyDescent="0.3">
      <c r="C34" s="138" t="s">
        <v>90</v>
      </c>
      <c r="D34" s="139"/>
      <c r="E34" s="134">
        <f>IF(E33&gt;0,E33/D12,0)</f>
        <v>0</v>
      </c>
      <c r="F34" s="135"/>
    </row>
    <row r="35" spans="3:6" x14ac:dyDescent="0.25">
      <c r="C35" s="7"/>
      <c r="D35" s="8"/>
      <c r="E35" s="6"/>
      <c r="F35" s="12"/>
    </row>
    <row r="36" spans="3:6" x14ac:dyDescent="0.25">
      <c r="C36" s="7"/>
      <c r="D36" s="8"/>
      <c r="E36" s="6"/>
      <c r="F36" s="6"/>
    </row>
    <row r="37" spans="3:6" x14ac:dyDescent="0.25">
      <c r="C37" s="7"/>
      <c r="D37" s="8"/>
      <c r="E37" s="6"/>
      <c r="F37" s="6"/>
    </row>
    <row r="38" spans="3:6" x14ac:dyDescent="0.25">
      <c r="C38" s="7"/>
      <c r="D38" s="8"/>
      <c r="E38" s="6"/>
      <c r="F38" s="6"/>
    </row>
    <row r="39" spans="3:6" x14ac:dyDescent="0.25">
      <c r="C39" s="7"/>
      <c r="D39" s="8"/>
      <c r="E39" s="6"/>
      <c r="F39" s="6"/>
    </row>
    <row r="40" spans="3:6" x14ac:dyDescent="0.25">
      <c r="C40" s="7"/>
      <c r="D40" s="8"/>
      <c r="E40" s="6"/>
      <c r="F40" s="6"/>
    </row>
    <row r="41" spans="3:6" x14ac:dyDescent="0.25">
      <c r="C41" s="7"/>
      <c r="D41" s="8"/>
      <c r="E41" s="6"/>
      <c r="F41" s="6"/>
    </row>
    <row r="42" spans="3:6" x14ac:dyDescent="0.25">
      <c r="C42" s="7"/>
      <c r="D42" s="8"/>
      <c r="E42" s="6"/>
      <c r="F42" s="6"/>
    </row>
    <row r="43" spans="3:6" x14ac:dyDescent="0.25">
      <c r="C43" s="7"/>
      <c r="D43" s="8"/>
      <c r="E43" s="6"/>
      <c r="F43" s="6"/>
    </row>
    <row r="44" spans="3:6" x14ac:dyDescent="0.25">
      <c r="C44" s="7"/>
      <c r="D44" s="8"/>
      <c r="E44" s="6"/>
      <c r="F44" s="6"/>
    </row>
    <row r="45" spans="3:6" x14ac:dyDescent="0.25">
      <c r="C45" s="7"/>
      <c r="D45" s="8"/>
      <c r="E45" s="6"/>
      <c r="F45" s="6"/>
    </row>
    <row r="46" spans="3:6" x14ac:dyDescent="0.25">
      <c r="C46" s="7"/>
      <c r="D46" s="8"/>
      <c r="E46" s="6"/>
      <c r="F46" s="6"/>
    </row>
    <row r="47" spans="3:6" x14ac:dyDescent="0.25">
      <c r="C47" s="7"/>
      <c r="D47" s="8"/>
      <c r="E47" s="6"/>
      <c r="F47" s="6"/>
    </row>
    <row r="48" spans="3:6" x14ac:dyDescent="0.25">
      <c r="C48" s="7"/>
      <c r="D48" s="8"/>
      <c r="E48" s="6"/>
      <c r="F48" s="6"/>
    </row>
    <row r="49" spans="3:6" x14ac:dyDescent="0.25">
      <c r="C49" s="7"/>
      <c r="D49" s="8"/>
      <c r="E49" s="6"/>
      <c r="F49" s="6"/>
    </row>
    <row r="50" spans="3:6" x14ac:dyDescent="0.25">
      <c r="C50" s="7"/>
      <c r="D50" s="8"/>
      <c r="E50" s="6"/>
      <c r="F50" s="6"/>
    </row>
    <row r="51" spans="3:6" x14ac:dyDescent="0.25">
      <c r="C51" s="7"/>
      <c r="D51" s="8"/>
      <c r="E51" s="6"/>
      <c r="F51" s="6"/>
    </row>
    <row r="52" spans="3:6" x14ac:dyDescent="0.25">
      <c r="C52" s="7"/>
      <c r="D52" s="8"/>
      <c r="E52" s="6"/>
      <c r="F52" s="6"/>
    </row>
    <row r="53" spans="3:6" x14ac:dyDescent="0.25">
      <c r="C53" s="7"/>
      <c r="D53" s="8"/>
      <c r="E53" s="6"/>
      <c r="F53" s="6"/>
    </row>
    <row r="54" spans="3:6" x14ac:dyDescent="0.25">
      <c r="C54" s="7"/>
      <c r="D54" s="8"/>
      <c r="E54" s="6"/>
      <c r="F54" s="6"/>
    </row>
    <row r="55" spans="3:6" x14ac:dyDescent="0.25">
      <c r="C55" s="7"/>
      <c r="D55" s="8"/>
      <c r="E55" s="6"/>
      <c r="F55" s="6"/>
    </row>
    <row r="56" spans="3:6" x14ac:dyDescent="0.25">
      <c r="C56" s="7"/>
      <c r="D56" s="8"/>
      <c r="E56" s="6"/>
      <c r="F56" s="6"/>
    </row>
    <row r="57" spans="3:6" x14ac:dyDescent="0.25">
      <c r="C57" s="7"/>
      <c r="D57" s="8"/>
      <c r="E57" s="6"/>
      <c r="F57" s="6"/>
    </row>
    <row r="58" spans="3:6" x14ac:dyDescent="0.25">
      <c r="C58" s="7"/>
      <c r="D58" s="8"/>
      <c r="E58" s="6"/>
      <c r="F58" s="6"/>
    </row>
    <row r="59" spans="3:6" x14ac:dyDescent="0.25">
      <c r="C59" s="7"/>
      <c r="D59" s="8"/>
      <c r="E59" s="6"/>
      <c r="F59" s="6"/>
    </row>
    <row r="60" spans="3:6" x14ac:dyDescent="0.25">
      <c r="C60" s="7"/>
      <c r="D60" s="8"/>
      <c r="E60" s="6"/>
      <c r="F60" s="6"/>
    </row>
    <row r="61" spans="3:6" x14ac:dyDescent="0.25">
      <c r="C61" s="7"/>
      <c r="D61" s="8"/>
      <c r="E61" s="6"/>
      <c r="F61" s="6"/>
    </row>
    <row r="62" spans="3:6" x14ac:dyDescent="0.25">
      <c r="C62" s="7"/>
      <c r="D62" s="8"/>
      <c r="E62" s="6"/>
      <c r="F62" s="6"/>
    </row>
    <row r="63" spans="3:6" x14ac:dyDescent="0.25">
      <c r="C63" s="7"/>
      <c r="D63" s="8"/>
      <c r="E63" s="6"/>
      <c r="F63" s="6"/>
    </row>
    <row r="64" spans="3:6" x14ac:dyDescent="0.25">
      <c r="C64" s="7"/>
      <c r="D64" s="8"/>
      <c r="E64" s="6"/>
      <c r="F64" s="6"/>
    </row>
    <row r="65" spans="3:6" x14ac:dyDescent="0.25">
      <c r="C65" s="7"/>
      <c r="D65" s="8"/>
      <c r="E65" s="6"/>
      <c r="F65" s="6"/>
    </row>
    <row r="66" spans="3:6" x14ac:dyDescent="0.25">
      <c r="C66" s="7"/>
      <c r="D66" s="6"/>
      <c r="E66" s="6"/>
      <c r="F66" s="6"/>
    </row>
    <row r="67" spans="3:6" x14ac:dyDescent="0.25">
      <c r="C67" s="7"/>
      <c r="D67" s="6"/>
      <c r="E67" s="6"/>
      <c r="F67" s="6"/>
    </row>
    <row r="68" spans="3:6" x14ac:dyDescent="0.25">
      <c r="C68" s="7"/>
      <c r="D68" s="6"/>
      <c r="E68" s="6"/>
      <c r="F68" s="6"/>
    </row>
    <row r="69" spans="3:6" x14ac:dyDescent="0.25">
      <c r="C69" s="7"/>
      <c r="D69" s="6"/>
      <c r="E69" s="6"/>
      <c r="F69" s="6"/>
    </row>
    <row r="70" spans="3:6" x14ac:dyDescent="0.25">
      <c r="C70" s="7"/>
      <c r="D70" s="6"/>
      <c r="E70" s="6"/>
      <c r="F70" s="6"/>
    </row>
    <row r="71" spans="3:6" x14ac:dyDescent="0.25">
      <c r="C71" s="7"/>
      <c r="D71" s="6"/>
      <c r="E71" s="6"/>
      <c r="F71" s="6"/>
    </row>
    <row r="72" spans="3:6" x14ac:dyDescent="0.25">
      <c r="C72" s="7"/>
      <c r="D72" s="6"/>
      <c r="E72" s="6"/>
      <c r="F72" s="6"/>
    </row>
    <row r="73" spans="3:6" x14ac:dyDescent="0.25">
      <c r="C73" s="7"/>
      <c r="D73" s="6"/>
      <c r="E73" s="6"/>
      <c r="F73" s="6"/>
    </row>
    <row r="74" spans="3:6" x14ac:dyDescent="0.25">
      <c r="C74" s="7"/>
      <c r="D74" s="6"/>
      <c r="E74" s="6"/>
      <c r="F74" s="6"/>
    </row>
    <row r="75" spans="3:6" x14ac:dyDescent="0.25">
      <c r="C75" s="7"/>
      <c r="D75" s="6"/>
      <c r="E75" s="6"/>
      <c r="F75" s="6"/>
    </row>
    <row r="76" spans="3:6" x14ac:dyDescent="0.25">
      <c r="C76" s="7"/>
      <c r="D76" s="6"/>
      <c r="E76" s="6"/>
      <c r="F76" s="6"/>
    </row>
    <row r="77" spans="3:6" x14ac:dyDescent="0.25">
      <c r="C77" s="7"/>
      <c r="D77" s="6"/>
      <c r="E77" s="6"/>
      <c r="F77" s="6"/>
    </row>
    <row r="78" spans="3:6" x14ac:dyDescent="0.25">
      <c r="C78" s="7"/>
      <c r="D78" s="6"/>
      <c r="E78" s="6"/>
      <c r="F78" s="6"/>
    </row>
    <row r="79" spans="3:6" x14ac:dyDescent="0.25">
      <c r="C79" s="7"/>
      <c r="D79" s="6"/>
      <c r="E79" s="6"/>
      <c r="F79" s="6"/>
    </row>
    <row r="80" spans="3:6" x14ac:dyDescent="0.25">
      <c r="C80" s="7"/>
      <c r="D80" s="6"/>
      <c r="E80" s="6"/>
      <c r="F80" s="6"/>
    </row>
    <row r="81" spans="3:6" x14ac:dyDescent="0.25">
      <c r="C81" s="7"/>
      <c r="D81" s="6"/>
      <c r="E81" s="6"/>
      <c r="F81" s="6"/>
    </row>
    <row r="82" spans="3:6" x14ac:dyDescent="0.25">
      <c r="C82" s="7"/>
      <c r="D82" s="6"/>
      <c r="E82" s="6"/>
      <c r="F82" s="6"/>
    </row>
    <row r="83" spans="3:6" x14ac:dyDescent="0.25">
      <c r="C83" s="7"/>
      <c r="D83" s="6"/>
      <c r="E83" s="6"/>
      <c r="F83" s="6"/>
    </row>
    <row r="84" spans="3:6" x14ac:dyDescent="0.25">
      <c r="C84" s="7"/>
      <c r="D84" s="6"/>
      <c r="E84" s="6"/>
      <c r="F84" s="6"/>
    </row>
    <row r="85" spans="3:6" x14ac:dyDescent="0.25">
      <c r="C85" s="7"/>
      <c r="D85" s="6"/>
      <c r="E85" s="6"/>
      <c r="F85" s="6"/>
    </row>
    <row r="86" spans="3:6" x14ac:dyDescent="0.25">
      <c r="C86" s="7"/>
      <c r="D86" s="6"/>
      <c r="E86" s="6"/>
      <c r="F86" s="6"/>
    </row>
    <row r="87" spans="3:6" x14ac:dyDescent="0.25">
      <c r="C87" s="7"/>
      <c r="D87" s="6"/>
      <c r="E87" s="6"/>
      <c r="F87" s="6"/>
    </row>
    <row r="88" spans="3:6" x14ac:dyDescent="0.25">
      <c r="C88" s="7"/>
      <c r="D88" s="6"/>
      <c r="E88" s="6"/>
      <c r="F88" s="6"/>
    </row>
    <row r="89" spans="3:6" x14ac:dyDescent="0.25">
      <c r="C89" s="7"/>
      <c r="D89" s="6"/>
      <c r="E89" s="6"/>
      <c r="F89" s="6"/>
    </row>
    <row r="90" spans="3:6" x14ac:dyDescent="0.25">
      <c r="C90" s="7"/>
      <c r="D90" s="6"/>
      <c r="E90" s="6"/>
      <c r="F90" s="6"/>
    </row>
    <row r="91" spans="3:6" x14ac:dyDescent="0.25">
      <c r="C91" s="7"/>
      <c r="D91" s="6"/>
      <c r="E91" s="6"/>
      <c r="F91" s="6"/>
    </row>
    <row r="92" spans="3:6" x14ac:dyDescent="0.25">
      <c r="C92" s="7"/>
      <c r="D92" s="6"/>
      <c r="E92" s="6"/>
      <c r="F92" s="6"/>
    </row>
    <row r="93" spans="3:6" x14ac:dyDescent="0.25">
      <c r="C93" s="7"/>
      <c r="D93" s="6"/>
      <c r="E93" s="6"/>
      <c r="F93" s="6"/>
    </row>
    <row r="94" spans="3:6" x14ac:dyDescent="0.25">
      <c r="C94" s="7"/>
      <c r="D94" s="6"/>
      <c r="E94" s="6"/>
      <c r="F94" s="6"/>
    </row>
    <row r="95" spans="3:6" x14ac:dyDescent="0.25">
      <c r="C95" s="7"/>
      <c r="D95" s="7"/>
      <c r="E95" s="7"/>
      <c r="F95" s="7"/>
    </row>
    <row r="96" spans="3:6" x14ac:dyDescent="0.25">
      <c r="C96" s="7"/>
      <c r="D96" s="7"/>
      <c r="E96" s="7"/>
      <c r="F96" s="7"/>
    </row>
    <row r="97" spans="3:6" x14ac:dyDescent="0.25">
      <c r="C97" s="7"/>
      <c r="D97" s="7"/>
      <c r="E97" s="7"/>
      <c r="F97" s="7"/>
    </row>
    <row r="98" spans="3:6" x14ac:dyDescent="0.25">
      <c r="C98" s="7"/>
      <c r="D98" s="7"/>
      <c r="E98" s="7"/>
      <c r="F98" s="7"/>
    </row>
    <row r="99" spans="3:6" x14ac:dyDescent="0.25">
      <c r="C99" s="7"/>
      <c r="D99" s="7"/>
      <c r="E99" s="7"/>
      <c r="F99" s="7"/>
    </row>
    <row r="100" spans="3:6" x14ac:dyDescent="0.25">
      <c r="C100" s="7"/>
      <c r="D100" s="7"/>
      <c r="E100" s="7"/>
      <c r="F100" s="7"/>
    </row>
    <row r="101" spans="3:6" x14ac:dyDescent="0.25">
      <c r="C101" s="7"/>
      <c r="D101" s="7"/>
      <c r="E101" s="7"/>
      <c r="F101" s="7"/>
    </row>
    <row r="102" spans="3:6" x14ac:dyDescent="0.25">
      <c r="C102" s="7"/>
      <c r="D102" s="7"/>
      <c r="E102" s="7"/>
      <c r="F102" s="7"/>
    </row>
    <row r="103" spans="3:6" x14ac:dyDescent="0.25">
      <c r="C103" s="7"/>
      <c r="D103" s="7"/>
      <c r="E103" s="7"/>
      <c r="F103" s="7"/>
    </row>
    <row r="104" spans="3:6" x14ac:dyDescent="0.25">
      <c r="C104" s="7"/>
      <c r="D104" s="7"/>
      <c r="E104" s="7"/>
      <c r="F104" s="7"/>
    </row>
    <row r="105" spans="3:6" x14ac:dyDescent="0.25">
      <c r="C105" s="7"/>
      <c r="D105" s="7"/>
      <c r="E105" s="7"/>
      <c r="F105" s="7"/>
    </row>
    <row r="106" spans="3:6" x14ac:dyDescent="0.25">
      <c r="C106" s="7"/>
      <c r="D106" s="7"/>
      <c r="E106" s="7"/>
      <c r="F106" s="7"/>
    </row>
    <row r="107" spans="3:6" x14ac:dyDescent="0.25">
      <c r="C107" s="7"/>
      <c r="D107" s="7"/>
      <c r="E107" s="7"/>
      <c r="F107" s="7"/>
    </row>
    <row r="108" spans="3:6" x14ac:dyDescent="0.25">
      <c r="C108" s="7"/>
      <c r="D108" s="7"/>
      <c r="E108" s="7"/>
      <c r="F108" s="7"/>
    </row>
    <row r="109" spans="3:6" x14ac:dyDescent="0.25">
      <c r="C109" s="7"/>
      <c r="D109" s="7"/>
      <c r="E109" s="7"/>
      <c r="F109" s="7"/>
    </row>
    <row r="110" spans="3:6" x14ac:dyDescent="0.25">
      <c r="C110" s="7"/>
      <c r="D110" s="7"/>
      <c r="E110" s="7"/>
      <c r="F110" s="7"/>
    </row>
    <row r="111" spans="3:6" x14ac:dyDescent="0.25">
      <c r="C111" s="7"/>
      <c r="D111" s="7"/>
      <c r="E111" s="7"/>
      <c r="F111" s="7"/>
    </row>
    <row r="112" spans="3:6" x14ac:dyDescent="0.25">
      <c r="C112" s="7"/>
      <c r="D112" s="7"/>
      <c r="E112" s="7"/>
      <c r="F112" s="7"/>
    </row>
    <row r="113" spans="3:6" x14ac:dyDescent="0.25">
      <c r="C113" s="7"/>
      <c r="D113" s="7"/>
      <c r="E113" s="7"/>
      <c r="F113" s="7"/>
    </row>
    <row r="114" spans="3:6" x14ac:dyDescent="0.25">
      <c r="C114" s="7"/>
      <c r="D114" s="7"/>
      <c r="E114" s="7"/>
      <c r="F114" s="7"/>
    </row>
    <row r="115" spans="3:6" x14ac:dyDescent="0.25">
      <c r="C115" s="7"/>
      <c r="D115" s="7"/>
      <c r="E115" s="7"/>
      <c r="F115" s="7"/>
    </row>
    <row r="116" spans="3:6" x14ac:dyDescent="0.25">
      <c r="C116" s="7"/>
      <c r="D116" s="7"/>
      <c r="E116" s="7"/>
      <c r="F116" s="7"/>
    </row>
    <row r="117" spans="3:6" x14ac:dyDescent="0.25">
      <c r="C117" s="7"/>
      <c r="D117" s="7"/>
      <c r="E117" s="7"/>
      <c r="F117" s="7"/>
    </row>
    <row r="118" spans="3:6" x14ac:dyDescent="0.25">
      <c r="C118" s="7"/>
      <c r="D118" s="7"/>
      <c r="E118" s="7"/>
      <c r="F118" s="7"/>
    </row>
    <row r="119" spans="3:6" x14ac:dyDescent="0.25">
      <c r="C119" s="7"/>
      <c r="D119" s="7"/>
      <c r="E119" s="7"/>
      <c r="F119" s="7"/>
    </row>
    <row r="120" spans="3:6" x14ac:dyDescent="0.25">
      <c r="C120" s="7"/>
      <c r="D120" s="7"/>
      <c r="E120" s="7"/>
      <c r="F120" s="7"/>
    </row>
    <row r="121" spans="3:6" x14ac:dyDescent="0.25">
      <c r="C121" s="7"/>
      <c r="D121" s="7"/>
      <c r="E121" s="7"/>
      <c r="F121" s="7"/>
    </row>
    <row r="122" spans="3:6" x14ac:dyDescent="0.25">
      <c r="C122" s="7"/>
      <c r="D122" s="7"/>
      <c r="E122" s="7"/>
      <c r="F122" s="7"/>
    </row>
    <row r="123" spans="3:6" x14ac:dyDescent="0.25">
      <c r="C123" s="7"/>
      <c r="D123" s="7"/>
      <c r="E123" s="7"/>
      <c r="F123" s="7"/>
    </row>
    <row r="124" spans="3:6" x14ac:dyDescent="0.25">
      <c r="C124" s="7"/>
      <c r="D124" s="7"/>
      <c r="E124" s="7"/>
      <c r="F124" s="7"/>
    </row>
    <row r="125" spans="3:6" x14ac:dyDescent="0.25">
      <c r="C125" s="7"/>
      <c r="D125" s="7"/>
      <c r="E125" s="7"/>
      <c r="F125" s="7"/>
    </row>
    <row r="126" spans="3:6" x14ac:dyDescent="0.25">
      <c r="C126" s="7"/>
      <c r="D126" s="7"/>
      <c r="E126" s="7"/>
      <c r="F126" s="7"/>
    </row>
    <row r="127" spans="3:6" x14ac:dyDescent="0.25">
      <c r="C127" s="7"/>
      <c r="D127" s="7"/>
      <c r="E127" s="7"/>
      <c r="F127" s="7"/>
    </row>
    <row r="128" spans="3:6" x14ac:dyDescent="0.25">
      <c r="C128" s="7"/>
      <c r="D128" s="7"/>
      <c r="E128" s="7"/>
      <c r="F128" s="7"/>
    </row>
    <row r="129" spans="3:6" x14ac:dyDescent="0.25">
      <c r="C129" s="7"/>
      <c r="D129" s="7"/>
      <c r="E129" s="7"/>
      <c r="F129" s="7"/>
    </row>
    <row r="130" spans="3:6" x14ac:dyDescent="0.25">
      <c r="C130" s="7"/>
      <c r="D130" s="7"/>
      <c r="E130" s="7"/>
      <c r="F130" s="7"/>
    </row>
    <row r="131" spans="3:6" x14ac:dyDescent="0.25">
      <c r="C131" s="7"/>
      <c r="D131" s="7"/>
      <c r="E131" s="7"/>
      <c r="F131" s="7"/>
    </row>
    <row r="132" spans="3:6" x14ac:dyDescent="0.25">
      <c r="C132" s="7"/>
      <c r="D132" s="7"/>
      <c r="E132" s="7"/>
      <c r="F132" s="7"/>
    </row>
    <row r="133" spans="3:6" x14ac:dyDescent="0.25">
      <c r="C133" s="7"/>
      <c r="D133" s="7"/>
      <c r="E133" s="7"/>
      <c r="F133" s="7"/>
    </row>
    <row r="134" spans="3:6" x14ac:dyDescent="0.25">
      <c r="C134" s="7"/>
      <c r="D134" s="7"/>
      <c r="E134" s="7"/>
      <c r="F134" s="7"/>
    </row>
    <row r="135" spans="3:6" x14ac:dyDescent="0.25">
      <c r="C135" s="7"/>
      <c r="D135" s="7"/>
      <c r="E135" s="7"/>
      <c r="F135" s="7"/>
    </row>
    <row r="136" spans="3:6" x14ac:dyDescent="0.25">
      <c r="C136" s="7"/>
      <c r="D136" s="7"/>
      <c r="E136" s="7"/>
      <c r="F136" s="7"/>
    </row>
    <row r="137" spans="3:6" x14ac:dyDescent="0.25">
      <c r="C137" s="7"/>
      <c r="D137" s="7"/>
      <c r="E137" s="7"/>
      <c r="F137" s="7"/>
    </row>
    <row r="138" spans="3:6" x14ac:dyDescent="0.25">
      <c r="C138" s="7"/>
      <c r="D138" s="7"/>
      <c r="E138" s="7"/>
      <c r="F138" s="7"/>
    </row>
    <row r="139" spans="3:6" x14ac:dyDescent="0.25">
      <c r="C139" s="7"/>
      <c r="D139" s="7"/>
      <c r="E139" s="7"/>
      <c r="F139" s="7"/>
    </row>
    <row r="140" spans="3:6" x14ac:dyDescent="0.25">
      <c r="C140" s="7"/>
      <c r="D140" s="7"/>
      <c r="E140" s="7"/>
      <c r="F140" s="7"/>
    </row>
    <row r="141" spans="3:6" x14ac:dyDescent="0.25">
      <c r="C141" s="7"/>
      <c r="D141" s="7"/>
      <c r="E141" s="7"/>
      <c r="F141" s="7"/>
    </row>
    <row r="142" spans="3:6" x14ac:dyDescent="0.25">
      <c r="C142" s="7"/>
      <c r="D142" s="7"/>
      <c r="E142" s="7"/>
      <c r="F142" s="7"/>
    </row>
    <row r="143" spans="3:6" x14ac:dyDescent="0.25">
      <c r="C143" s="7"/>
      <c r="D143" s="7"/>
      <c r="E143" s="7"/>
      <c r="F143" s="7"/>
    </row>
    <row r="144" spans="3:6" x14ac:dyDescent="0.25">
      <c r="C144" s="7"/>
      <c r="D144" s="7"/>
      <c r="E144" s="7"/>
      <c r="F144" s="7"/>
    </row>
    <row r="145" spans="3:6" x14ac:dyDescent="0.25">
      <c r="C145" s="7"/>
      <c r="D145" s="7"/>
      <c r="E145" s="7"/>
      <c r="F145" s="7"/>
    </row>
    <row r="146" spans="3:6" x14ac:dyDescent="0.25">
      <c r="C146" s="7"/>
      <c r="D146" s="7"/>
      <c r="E146" s="7"/>
      <c r="F146" s="7"/>
    </row>
    <row r="147" spans="3:6" x14ac:dyDescent="0.25">
      <c r="C147" s="7"/>
      <c r="D147" s="7"/>
      <c r="E147" s="7"/>
      <c r="F147" s="7"/>
    </row>
    <row r="148" spans="3:6" x14ac:dyDescent="0.25">
      <c r="C148" s="7"/>
      <c r="D148" s="7"/>
      <c r="E148" s="7"/>
      <c r="F148" s="7"/>
    </row>
    <row r="149" spans="3:6" x14ac:dyDescent="0.25">
      <c r="C149" s="7"/>
      <c r="D149" s="7"/>
      <c r="E149" s="7"/>
      <c r="F149" s="7"/>
    </row>
    <row r="150" spans="3:6" x14ac:dyDescent="0.25">
      <c r="C150" s="7"/>
      <c r="D150" s="7"/>
      <c r="E150" s="7"/>
      <c r="F150" s="7"/>
    </row>
    <row r="151" spans="3:6" x14ac:dyDescent="0.25">
      <c r="C151" s="7"/>
      <c r="D151" s="7"/>
      <c r="E151" s="7"/>
      <c r="F151" s="7"/>
    </row>
    <row r="152" spans="3:6" x14ac:dyDescent="0.25">
      <c r="C152" s="7"/>
      <c r="D152" s="7"/>
      <c r="E152" s="7"/>
      <c r="F152" s="7"/>
    </row>
    <row r="153" spans="3:6" x14ac:dyDescent="0.25">
      <c r="C153" s="7"/>
      <c r="D153" s="7"/>
      <c r="E153" s="7"/>
      <c r="F153" s="7"/>
    </row>
    <row r="154" spans="3:6" x14ac:dyDescent="0.25">
      <c r="C154" s="7"/>
      <c r="D154" s="7"/>
      <c r="E154" s="7"/>
      <c r="F154" s="7"/>
    </row>
    <row r="155" spans="3:6" x14ac:dyDescent="0.25">
      <c r="C155" s="7"/>
      <c r="D155" s="7"/>
      <c r="E155" s="7"/>
      <c r="F155" s="7"/>
    </row>
    <row r="156" spans="3:6" x14ac:dyDescent="0.25">
      <c r="C156" s="7"/>
      <c r="D156" s="7"/>
      <c r="E156" s="7"/>
      <c r="F156" s="7"/>
    </row>
    <row r="157" spans="3:6" x14ac:dyDescent="0.25">
      <c r="C157" s="7"/>
      <c r="D157" s="7"/>
      <c r="E157" s="7"/>
      <c r="F157" s="7"/>
    </row>
    <row r="158" spans="3:6" x14ac:dyDescent="0.25">
      <c r="C158" s="7"/>
      <c r="D158" s="7"/>
      <c r="E158" s="7"/>
      <c r="F158" s="7"/>
    </row>
    <row r="159" spans="3:6" x14ac:dyDescent="0.25">
      <c r="C159" s="7"/>
      <c r="D159" s="7"/>
      <c r="E159" s="7"/>
      <c r="F159" s="7"/>
    </row>
    <row r="160" spans="3:6" x14ac:dyDescent="0.25">
      <c r="C160" s="7"/>
      <c r="D160" s="7"/>
      <c r="E160" s="7"/>
      <c r="F160" s="7"/>
    </row>
    <row r="161" spans="3:6" x14ac:dyDescent="0.25">
      <c r="C161" s="7"/>
      <c r="D161" s="7"/>
      <c r="E161" s="7"/>
      <c r="F161" s="7"/>
    </row>
    <row r="162" spans="3:6" x14ac:dyDescent="0.25">
      <c r="C162" s="7"/>
      <c r="D162" s="7"/>
      <c r="E162" s="7"/>
      <c r="F162" s="7"/>
    </row>
    <row r="163" spans="3:6" x14ac:dyDescent="0.25">
      <c r="C163" s="7"/>
      <c r="D163" s="7"/>
      <c r="E163" s="7"/>
      <c r="F163" s="7"/>
    </row>
    <row r="164" spans="3:6" x14ac:dyDescent="0.25">
      <c r="C164" s="7"/>
      <c r="D164" s="7"/>
      <c r="E164" s="7"/>
      <c r="F164" s="7"/>
    </row>
    <row r="165" spans="3:6" x14ac:dyDescent="0.25">
      <c r="C165" s="7"/>
      <c r="D165" s="7"/>
      <c r="E165" s="7"/>
      <c r="F165" s="7"/>
    </row>
    <row r="166" spans="3:6" x14ac:dyDescent="0.25">
      <c r="C166" s="7"/>
      <c r="D166" s="7"/>
      <c r="E166" s="7"/>
      <c r="F166" s="7"/>
    </row>
    <row r="167" spans="3:6" x14ac:dyDescent="0.25">
      <c r="C167" s="7"/>
      <c r="D167" s="7"/>
      <c r="E167" s="7"/>
      <c r="F167" s="7"/>
    </row>
    <row r="168" spans="3:6" x14ac:dyDescent="0.25">
      <c r="C168" s="7"/>
      <c r="D168" s="7"/>
      <c r="E168" s="7"/>
      <c r="F168" s="7"/>
    </row>
    <row r="169" spans="3:6" x14ac:dyDescent="0.25">
      <c r="C169" s="7"/>
      <c r="D169" s="7"/>
      <c r="E169" s="7"/>
      <c r="F169" s="7"/>
    </row>
    <row r="170" spans="3:6" x14ac:dyDescent="0.25">
      <c r="C170" s="7"/>
      <c r="D170" s="7"/>
      <c r="E170" s="7"/>
      <c r="F170" s="7"/>
    </row>
    <row r="171" spans="3:6" x14ac:dyDescent="0.25">
      <c r="C171" s="7"/>
      <c r="D171" s="7"/>
      <c r="E171" s="7"/>
      <c r="F171" s="7"/>
    </row>
    <row r="172" spans="3:6" x14ac:dyDescent="0.25">
      <c r="C172" s="7"/>
      <c r="D172" s="7"/>
      <c r="E172" s="7"/>
      <c r="F172" s="7"/>
    </row>
    <row r="173" spans="3:6" x14ac:dyDescent="0.25">
      <c r="C173" s="7"/>
      <c r="D173" s="7"/>
      <c r="E173" s="7"/>
      <c r="F173" s="7"/>
    </row>
    <row r="174" spans="3:6" x14ac:dyDescent="0.25">
      <c r="C174" s="7"/>
      <c r="D174" s="7"/>
      <c r="E174" s="7"/>
      <c r="F174" s="7"/>
    </row>
    <row r="175" spans="3:6" x14ac:dyDescent="0.25">
      <c r="C175" s="7"/>
      <c r="D175" s="7"/>
      <c r="E175" s="7"/>
      <c r="F175" s="7"/>
    </row>
    <row r="176" spans="3:6" x14ac:dyDescent="0.25">
      <c r="C176" s="7"/>
      <c r="D176" s="7"/>
      <c r="E176" s="7"/>
      <c r="F176" s="7"/>
    </row>
    <row r="177" spans="3:6" x14ac:dyDescent="0.25">
      <c r="C177" s="7"/>
      <c r="D177" s="7"/>
      <c r="E177" s="7"/>
      <c r="F177" s="7"/>
    </row>
    <row r="178" spans="3:6" x14ac:dyDescent="0.25">
      <c r="C178" s="7"/>
      <c r="D178" s="7"/>
      <c r="E178" s="7"/>
      <c r="F178" s="7"/>
    </row>
    <row r="179" spans="3:6" x14ac:dyDescent="0.25">
      <c r="C179" s="7"/>
      <c r="D179" s="7"/>
      <c r="E179" s="7"/>
      <c r="F179" s="7"/>
    </row>
    <row r="180" spans="3:6" x14ac:dyDescent="0.25">
      <c r="C180" s="7"/>
      <c r="D180" s="7"/>
      <c r="E180" s="7"/>
      <c r="F180" s="7"/>
    </row>
    <row r="181" spans="3:6" x14ac:dyDescent="0.25">
      <c r="C181" s="7"/>
      <c r="D181" s="7"/>
      <c r="E181" s="7"/>
      <c r="F181" s="7"/>
    </row>
    <row r="182" spans="3:6" x14ac:dyDescent="0.25">
      <c r="C182" s="7"/>
      <c r="D182" s="7"/>
      <c r="E182" s="7"/>
      <c r="F182" s="7"/>
    </row>
    <row r="183" spans="3:6" x14ac:dyDescent="0.25">
      <c r="C183" s="7"/>
      <c r="D183" s="7"/>
      <c r="E183" s="7"/>
      <c r="F183" s="7"/>
    </row>
    <row r="184" spans="3:6" x14ac:dyDescent="0.25">
      <c r="C184" s="7"/>
      <c r="D184" s="7"/>
      <c r="E184" s="7"/>
      <c r="F184" s="7"/>
    </row>
    <row r="185" spans="3:6" x14ac:dyDescent="0.25">
      <c r="C185" s="7"/>
      <c r="D185" s="7"/>
      <c r="E185" s="7"/>
      <c r="F185" s="7"/>
    </row>
    <row r="186" spans="3:6" x14ac:dyDescent="0.25">
      <c r="C186" s="7"/>
      <c r="D186" s="7"/>
      <c r="E186" s="7"/>
      <c r="F186" s="7"/>
    </row>
    <row r="187" spans="3:6" x14ac:dyDescent="0.25">
      <c r="C187" s="7"/>
      <c r="D187" s="7"/>
      <c r="E187" s="7"/>
      <c r="F187" s="7"/>
    </row>
    <row r="188" spans="3:6" x14ac:dyDescent="0.25">
      <c r="C188" s="7"/>
      <c r="D188" s="7"/>
      <c r="E188" s="7"/>
      <c r="F188" s="7"/>
    </row>
    <row r="189" spans="3:6" x14ac:dyDescent="0.25">
      <c r="C189" s="7"/>
      <c r="D189" s="7"/>
      <c r="E189" s="7"/>
      <c r="F189" s="7"/>
    </row>
    <row r="190" spans="3:6" x14ac:dyDescent="0.25">
      <c r="C190" s="7"/>
      <c r="D190" s="7"/>
      <c r="E190" s="7"/>
      <c r="F190" s="7"/>
    </row>
    <row r="191" spans="3:6" x14ac:dyDescent="0.25">
      <c r="C191" s="7"/>
      <c r="D191" s="7"/>
      <c r="E191" s="7"/>
      <c r="F191" s="7"/>
    </row>
    <row r="192" spans="3:6" x14ac:dyDescent="0.25">
      <c r="C192" s="7"/>
      <c r="D192" s="7"/>
      <c r="E192" s="7"/>
      <c r="F192" s="7"/>
    </row>
    <row r="193" spans="3:6" x14ac:dyDescent="0.25">
      <c r="C193" s="7"/>
      <c r="D193" s="7"/>
      <c r="E193" s="7"/>
      <c r="F193" s="7"/>
    </row>
    <row r="194" spans="3:6" x14ac:dyDescent="0.25">
      <c r="C194" s="7"/>
      <c r="D194" s="7"/>
      <c r="E194" s="7"/>
      <c r="F194" s="7"/>
    </row>
    <row r="195" spans="3:6" x14ac:dyDescent="0.25">
      <c r="C195" s="7"/>
      <c r="D195" s="7"/>
      <c r="E195" s="7"/>
      <c r="F195" s="7"/>
    </row>
    <row r="196" spans="3:6" x14ac:dyDescent="0.25">
      <c r="C196" s="7"/>
      <c r="D196" s="7"/>
      <c r="E196" s="7"/>
      <c r="F196" s="7"/>
    </row>
    <row r="197" spans="3:6" x14ac:dyDescent="0.25">
      <c r="C197" s="7"/>
      <c r="D197" s="7"/>
      <c r="E197" s="7"/>
      <c r="F197" s="7"/>
    </row>
    <row r="198" spans="3:6" x14ac:dyDescent="0.25">
      <c r="C198" s="7"/>
      <c r="D198" s="7"/>
      <c r="E198" s="7"/>
      <c r="F198" s="7"/>
    </row>
    <row r="199" spans="3:6" x14ac:dyDescent="0.25">
      <c r="C199" s="7"/>
      <c r="D199" s="7"/>
      <c r="E199" s="7"/>
      <c r="F199" s="7"/>
    </row>
    <row r="200" spans="3:6" x14ac:dyDescent="0.25">
      <c r="C200" s="7"/>
      <c r="D200" s="7"/>
      <c r="E200" s="7"/>
      <c r="F200" s="7"/>
    </row>
    <row r="201" spans="3:6" x14ac:dyDescent="0.25">
      <c r="C201" s="7"/>
      <c r="D201" s="7"/>
      <c r="E201" s="7"/>
      <c r="F201" s="7"/>
    </row>
    <row r="202" spans="3:6" x14ac:dyDescent="0.25">
      <c r="C202" s="7"/>
      <c r="D202" s="7"/>
      <c r="E202" s="7"/>
      <c r="F202" s="7"/>
    </row>
    <row r="203" spans="3:6" x14ac:dyDescent="0.25">
      <c r="C203" s="7"/>
      <c r="D203" s="7"/>
      <c r="E203" s="7"/>
      <c r="F203" s="7"/>
    </row>
    <row r="204" spans="3:6" x14ac:dyDescent="0.25">
      <c r="C204" s="7"/>
      <c r="D204" s="7"/>
      <c r="E204" s="7"/>
      <c r="F204" s="7"/>
    </row>
    <row r="205" spans="3:6" x14ac:dyDescent="0.25">
      <c r="C205" s="7"/>
      <c r="D205" s="7"/>
      <c r="E205" s="7"/>
      <c r="F205" s="7"/>
    </row>
    <row r="206" spans="3:6" x14ac:dyDescent="0.25">
      <c r="C206" s="7"/>
      <c r="D206" s="7"/>
      <c r="E206" s="7"/>
      <c r="F206" s="7"/>
    </row>
    <row r="207" spans="3:6" x14ac:dyDescent="0.25">
      <c r="C207" s="7"/>
      <c r="D207" s="7"/>
      <c r="E207" s="7"/>
      <c r="F207" s="7"/>
    </row>
    <row r="208" spans="3:6" x14ac:dyDescent="0.25">
      <c r="C208" s="7"/>
      <c r="D208" s="7"/>
      <c r="E208" s="7"/>
      <c r="F208" s="7"/>
    </row>
    <row r="209" spans="3:6" x14ac:dyDescent="0.25">
      <c r="C209" s="7"/>
      <c r="D209" s="7"/>
      <c r="E209" s="7"/>
      <c r="F209" s="7"/>
    </row>
    <row r="210" spans="3:6" x14ac:dyDescent="0.25">
      <c r="C210" s="7"/>
      <c r="D210" s="7"/>
      <c r="E210" s="7"/>
      <c r="F210" s="7"/>
    </row>
    <row r="211" spans="3:6" x14ac:dyDescent="0.25">
      <c r="C211" s="7"/>
      <c r="D211" s="7"/>
      <c r="E211" s="7"/>
      <c r="F211" s="7"/>
    </row>
    <row r="212" spans="3:6" x14ac:dyDescent="0.25">
      <c r="C212" s="7"/>
      <c r="D212" s="7"/>
      <c r="E212" s="7"/>
      <c r="F212" s="7"/>
    </row>
    <row r="213" spans="3:6" x14ac:dyDescent="0.25">
      <c r="C213" s="7"/>
      <c r="D213" s="7"/>
      <c r="E213" s="7"/>
      <c r="F213" s="7"/>
    </row>
    <row r="214" spans="3:6" x14ac:dyDescent="0.25">
      <c r="C214" s="7"/>
      <c r="D214" s="7"/>
      <c r="E214" s="7"/>
      <c r="F214" s="7"/>
    </row>
    <row r="215" spans="3:6" x14ac:dyDescent="0.25">
      <c r="C215" s="7"/>
      <c r="D215" s="7"/>
      <c r="E215" s="7"/>
      <c r="F215" s="7"/>
    </row>
    <row r="216" spans="3:6" x14ac:dyDescent="0.25">
      <c r="C216" s="7"/>
      <c r="D216" s="7"/>
      <c r="E216" s="7"/>
      <c r="F216" s="7"/>
    </row>
    <row r="217" spans="3:6" x14ac:dyDescent="0.25">
      <c r="C217" s="7"/>
      <c r="D217" s="7"/>
      <c r="E217" s="7"/>
      <c r="F217" s="7"/>
    </row>
    <row r="218" spans="3:6" x14ac:dyDescent="0.25">
      <c r="C218" s="7"/>
      <c r="D218" s="7"/>
      <c r="E218" s="7"/>
      <c r="F218" s="7"/>
    </row>
    <row r="219" spans="3:6" x14ac:dyDescent="0.25">
      <c r="C219" s="7"/>
      <c r="D219" s="7"/>
      <c r="E219" s="7"/>
      <c r="F219" s="7"/>
    </row>
    <row r="220" spans="3:6" x14ac:dyDescent="0.25">
      <c r="C220" s="7"/>
      <c r="D220" s="7"/>
      <c r="E220" s="7"/>
      <c r="F220" s="7"/>
    </row>
    <row r="221" spans="3:6" x14ac:dyDescent="0.25">
      <c r="C221" s="7"/>
      <c r="D221" s="7"/>
      <c r="E221" s="7"/>
      <c r="F221" s="7"/>
    </row>
    <row r="222" spans="3:6" x14ac:dyDescent="0.25">
      <c r="C222" s="7"/>
      <c r="D222" s="7"/>
      <c r="E222" s="7"/>
      <c r="F222" s="7"/>
    </row>
    <row r="223" spans="3:6" x14ac:dyDescent="0.25">
      <c r="C223" s="7"/>
      <c r="D223" s="7"/>
      <c r="E223" s="7"/>
      <c r="F223" s="7"/>
    </row>
    <row r="224" spans="3:6" x14ac:dyDescent="0.25">
      <c r="C224" s="7"/>
      <c r="D224" s="7"/>
      <c r="E224" s="7"/>
      <c r="F224" s="7"/>
    </row>
    <row r="225" spans="3:6" x14ac:dyDescent="0.25">
      <c r="C225" s="7"/>
      <c r="D225" s="7"/>
      <c r="E225" s="7"/>
      <c r="F225" s="7"/>
    </row>
    <row r="226" spans="3:6" x14ac:dyDescent="0.25">
      <c r="C226" s="7"/>
      <c r="D226" s="7"/>
      <c r="E226" s="7"/>
      <c r="F226" s="7"/>
    </row>
    <row r="227" spans="3:6" x14ac:dyDescent="0.25">
      <c r="C227" s="7"/>
      <c r="D227" s="7"/>
      <c r="E227" s="7"/>
      <c r="F227" s="7"/>
    </row>
    <row r="228" spans="3:6" x14ac:dyDescent="0.25">
      <c r="C228" s="7"/>
      <c r="D228" s="7"/>
      <c r="E228" s="7"/>
      <c r="F228" s="7"/>
    </row>
    <row r="229" spans="3:6" x14ac:dyDescent="0.25">
      <c r="C229" s="7"/>
      <c r="D229" s="7"/>
      <c r="E229" s="7"/>
      <c r="F229" s="7"/>
    </row>
    <row r="230" spans="3:6" x14ac:dyDescent="0.25">
      <c r="C230" s="7"/>
      <c r="D230" s="7"/>
      <c r="E230" s="7"/>
      <c r="F230" s="7"/>
    </row>
    <row r="231" spans="3:6" x14ac:dyDescent="0.25">
      <c r="C231" s="7"/>
      <c r="D231" s="7"/>
      <c r="E231" s="7"/>
      <c r="F231" s="7"/>
    </row>
    <row r="232" spans="3:6" x14ac:dyDescent="0.25">
      <c r="C232" s="7"/>
      <c r="D232" s="7"/>
      <c r="E232" s="7"/>
      <c r="F232" s="7"/>
    </row>
    <row r="233" spans="3:6" x14ac:dyDescent="0.25">
      <c r="C233" s="7"/>
      <c r="D233" s="7"/>
      <c r="E233" s="7"/>
      <c r="F233" s="7"/>
    </row>
  </sheetData>
  <sheetProtection formatCells="0" formatColumns="0" formatRows="0" insertColumns="0" insertRows="0" insertHyperlinks="0" deleteColumns="0" deleteRows="0" sort="0" autoFilter="0" pivotTables="0"/>
  <mergeCells count="29">
    <mergeCell ref="B31:C31"/>
    <mergeCell ref="C33:D33"/>
    <mergeCell ref="E33:F33"/>
    <mergeCell ref="C34:D34"/>
    <mergeCell ref="E34:F34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8:C18"/>
    <mergeCell ref="A1:F1"/>
    <mergeCell ref="D6:E6"/>
    <mergeCell ref="D7:E7"/>
    <mergeCell ref="D8:E8"/>
    <mergeCell ref="B11:C11"/>
    <mergeCell ref="B12:C12"/>
    <mergeCell ref="B13:C13"/>
    <mergeCell ref="B14:C14"/>
    <mergeCell ref="B15:C15"/>
    <mergeCell ref="B16:C16"/>
    <mergeCell ref="B17:C17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C7447-9FBC-40C4-8D11-0CB426C649FD}">
  <dimension ref="A1:J233"/>
  <sheetViews>
    <sheetView showGridLines="0" topLeftCell="A9" workbookViewId="0">
      <selection activeCell="D12" sqref="D12"/>
    </sheetView>
  </sheetViews>
  <sheetFormatPr defaultRowHeight="13.8" x14ac:dyDescent="0.25"/>
  <cols>
    <col min="1" max="1" width="4.69921875" style="6" customWidth="1"/>
    <col min="2" max="2" width="20.69921875" style="6" customWidth="1"/>
    <col min="3" max="3" width="20.69921875" customWidth="1"/>
    <col min="4" max="4" width="7.69921875" customWidth="1"/>
    <col min="5" max="6" width="15.296875" customWidth="1"/>
    <col min="9" max="9" width="13.296875" customWidth="1"/>
  </cols>
  <sheetData>
    <row r="1" spans="1:10" ht="18" x14ac:dyDescent="0.25">
      <c r="A1" s="126" t="s">
        <v>79</v>
      </c>
      <c r="B1" s="127"/>
      <c r="C1" s="127"/>
      <c r="D1" s="127"/>
      <c r="E1" s="127"/>
      <c r="F1" s="128"/>
    </row>
    <row r="2" spans="1:10" x14ac:dyDescent="0.25">
      <c r="A2" s="15"/>
      <c r="B2" s="63" t="s">
        <v>45</v>
      </c>
      <c r="C2" s="16"/>
      <c r="D2" s="16"/>
      <c r="E2" s="62" t="s">
        <v>80</v>
      </c>
      <c r="F2" s="21"/>
    </row>
    <row r="3" spans="1:10" x14ac:dyDescent="0.25">
      <c r="A3" s="15"/>
      <c r="B3" s="63" t="s">
        <v>33</v>
      </c>
      <c r="C3" s="16"/>
      <c r="E3" s="62" t="s">
        <v>34</v>
      </c>
      <c r="F3" s="50"/>
    </row>
    <row r="4" spans="1:10" ht="15.6" x14ac:dyDescent="0.3">
      <c r="A4" s="15"/>
      <c r="B4" s="63" t="s">
        <v>35</v>
      </c>
      <c r="C4" s="16"/>
      <c r="D4" s="17"/>
      <c r="E4" s="62" t="s">
        <v>37</v>
      </c>
      <c r="F4" s="51"/>
    </row>
    <row r="5" spans="1:10" ht="15.6" x14ac:dyDescent="0.3">
      <c r="A5" s="15"/>
      <c r="B5" s="16"/>
      <c r="C5" s="16"/>
      <c r="D5" s="1"/>
      <c r="E5" s="17"/>
      <c r="F5" s="18"/>
    </row>
    <row r="6" spans="1:10" ht="15.6" x14ac:dyDescent="0.3">
      <c r="A6" s="15"/>
      <c r="B6" s="63" t="s">
        <v>55</v>
      </c>
      <c r="C6" s="16"/>
      <c r="D6" s="144"/>
      <c r="E6" s="144"/>
      <c r="F6" s="18"/>
    </row>
    <row r="7" spans="1:10" ht="15.6" x14ac:dyDescent="0.3">
      <c r="A7" s="15"/>
      <c r="B7" s="63" t="s">
        <v>50</v>
      </c>
      <c r="C7" s="16"/>
      <c r="D7" s="145"/>
      <c r="E7" s="145"/>
      <c r="F7" s="18"/>
    </row>
    <row r="8" spans="1:10" ht="15.6" x14ac:dyDescent="0.3">
      <c r="A8" s="15"/>
      <c r="B8" s="63" t="s">
        <v>105</v>
      </c>
      <c r="C8" s="16"/>
      <c r="D8" s="146" t="s">
        <v>104</v>
      </c>
      <c r="E8" s="146"/>
      <c r="F8" s="19"/>
    </row>
    <row r="9" spans="1:10" x14ac:dyDescent="0.25">
      <c r="A9" s="15"/>
      <c r="F9" s="20"/>
    </row>
    <row r="10" spans="1:10" x14ac:dyDescent="0.25">
      <c r="A10" s="15"/>
      <c r="F10" s="20"/>
    </row>
    <row r="11" spans="1:10" x14ac:dyDescent="0.25">
      <c r="A11" s="10" t="s">
        <v>64</v>
      </c>
      <c r="B11" s="147" t="s">
        <v>46</v>
      </c>
      <c r="C11" s="148"/>
      <c r="D11" s="11" t="s">
        <v>47</v>
      </c>
      <c r="E11" s="11" t="s">
        <v>49</v>
      </c>
      <c r="F11" s="11" t="s">
        <v>48</v>
      </c>
      <c r="I11" s="55" t="s">
        <v>88</v>
      </c>
      <c r="J11" s="53">
        <v>1</v>
      </c>
    </row>
    <row r="12" spans="1:10" x14ac:dyDescent="0.25">
      <c r="A12" s="10">
        <v>1</v>
      </c>
      <c r="B12" s="140" t="s">
        <v>51</v>
      </c>
      <c r="C12" s="141"/>
      <c r="D12" s="105">
        <v>0</v>
      </c>
      <c r="E12" s="57">
        <v>1000</v>
      </c>
      <c r="F12" s="14">
        <f t="shared" ref="F12:F31" si="0">D12*E12</f>
        <v>0</v>
      </c>
      <c r="I12" s="56" t="s">
        <v>87</v>
      </c>
      <c r="J12" s="54">
        <v>1</v>
      </c>
    </row>
    <row r="13" spans="1:10" x14ac:dyDescent="0.25">
      <c r="A13" s="10">
        <v>2</v>
      </c>
      <c r="B13" s="140" t="s">
        <v>52</v>
      </c>
      <c r="C13" s="141" t="s">
        <v>52</v>
      </c>
      <c r="D13" s="106">
        <v>0.05</v>
      </c>
      <c r="E13" s="52">
        <f>D12*E12</f>
        <v>0</v>
      </c>
      <c r="F13" s="14">
        <f t="shared" si="0"/>
        <v>0</v>
      </c>
      <c r="I13" s="55" t="s">
        <v>86</v>
      </c>
      <c r="J13" s="28">
        <v>1</v>
      </c>
    </row>
    <row r="14" spans="1:10" x14ac:dyDescent="0.25">
      <c r="A14" s="10">
        <v>3</v>
      </c>
      <c r="B14" s="140" t="s">
        <v>54</v>
      </c>
      <c r="C14" s="141" t="s">
        <v>54</v>
      </c>
      <c r="D14" s="106">
        <v>0.05</v>
      </c>
      <c r="E14" s="52">
        <f>D12*E12</f>
        <v>0</v>
      </c>
      <c r="F14" s="14">
        <f>D14*E14</f>
        <v>0</v>
      </c>
    </row>
    <row r="15" spans="1:10" x14ac:dyDescent="0.25">
      <c r="A15" s="10">
        <v>4</v>
      </c>
      <c r="B15" s="140" t="s">
        <v>56</v>
      </c>
      <c r="C15" s="141" t="s">
        <v>56</v>
      </c>
      <c r="D15" s="106">
        <v>0.05</v>
      </c>
      <c r="E15" s="52">
        <f>F12+F13</f>
        <v>0</v>
      </c>
      <c r="F15" s="14">
        <f t="shared" si="0"/>
        <v>0</v>
      </c>
    </row>
    <row r="16" spans="1:10" x14ac:dyDescent="0.25">
      <c r="A16" s="10">
        <v>5</v>
      </c>
      <c r="B16" s="140" t="s">
        <v>53</v>
      </c>
      <c r="C16" s="141" t="s">
        <v>53</v>
      </c>
      <c r="D16" s="105">
        <f>D12</f>
        <v>0</v>
      </c>
      <c r="E16" s="57"/>
      <c r="F16" s="14">
        <f t="shared" si="0"/>
        <v>0</v>
      </c>
    </row>
    <row r="17" spans="1:6" x14ac:dyDescent="0.25">
      <c r="A17" s="10">
        <v>6</v>
      </c>
      <c r="B17" s="140" t="s">
        <v>72</v>
      </c>
      <c r="C17" s="141" t="s">
        <v>72</v>
      </c>
      <c r="D17" s="105">
        <f>D12</f>
        <v>0</v>
      </c>
      <c r="E17" s="57"/>
      <c r="F17" s="14">
        <f t="shared" si="0"/>
        <v>0</v>
      </c>
    </row>
    <row r="18" spans="1:6" x14ac:dyDescent="0.25">
      <c r="A18" s="10">
        <v>7</v>
      </c>
      <c r="B18" s="140" t="s">
        <v>71</v>
      </c>
      <c r="C18" s="141" t="s">
        <v>71</v>
      </c>
      <c r="D18" s="105">
        <v>0</v>
      </c>
      <c r="E18" s="57"/>
      <c r="F18" s="14">
        <f t="shared" si="0"/>
        <v>0</v>
      </c>
    </row>
    <row r="19" spans="1:6" x14ac:dyDescent="0.25">
      <c r="A19" s="10">
        <v>8</v>
      </c>
      <c r="B19" s="140" t="s">
        <v>25</v>
      </c>
      <c r="C19" s="141" t="s">
        <v>25</v>
      </c>
      <c r="D19" s="105">
        <f>D12</f>
        <v>0</v>
      </c>
      <c r="E19" s="57"/>
      <c r="F19" s="14">
        <f t="shared" si="0"/>
        <v>0</v>
      </c>
    </row>
    <row r="20" spans="1:6" x14ac:dyDescent="0.25">
      <c r="A20" s="10">
        <v>9</v>
      </c>
      <c r="B20" s="140" t="s">
        <v>60</v>
      </c>
      <c r="C20" s="141" t="s">
        <v>60</v>
      </c>
      <c r="D20" s="105">
        <f>D12</f>
        <v>0</v>
      </c>
      <c r="E20" s="57"/>
      <c r="F20" s="14">
        <f t="shared" si="0"/>
        <v>0</v>
      </c>
    </row>
    <row r="21" spans="1:6" x14ac:dyDescent="0.25">
      <c r="A21" s="10">
        <v>10</v>
      </c>
      <c r="B21" s="140" t="s">
        <v>59</v>
      </c>
      <c r="C21" s="141" t="s">
        <v>59</v>
      </c>
      <c r="D21" s="105">
        <f>D12</f>
        <v>0</v>
      </c>
      <c r="E21" s="57"/>
      <c r="F21" s="14">
        <f t="shared" si="0"/>
        <v>0</v>
      </c>
    </row>
    <row r="22" spans="1:6" x14ac:dyDescent="0.25">
      <c r="A22" s="10">
        <v>11</v>
      </c>
      <c r="B22" s="140" t="s">
        <v>65</v>
      </c>
      <c r="C22" s="141" t="s">
        <v>65</v>
      </c>
      <c r="D22" s="105">
        <f>D12</f>
        <v>0</v>
      </c>
      <c r="E22" s="57"/>
      <c r="F22" s="14">
        <f t="shared" si="0"/>
        <v>0</v>
      </c>
    </row>
    <row r="23" spans="1:6" x14ac:dyDescent="0.25">
      <c r="A23" s="10">
        <v>12</v>
      </c>
      <c r="B23" s="140" t="s">
        <v>66</v>
      </c>
      <c r="C23" s="141" t="s">
        <v>66</v>
      </c>
      <c r="D23" s="105">
        <f>D12</f>
        <v>0</v>
      </c>
      <c r="E23" s="57"/>
      <c r="F23" s="14">
        <f t="shared" si="0"/>
        <v>0</v>
      </c>
    </row>
    <row r="24" spans="1:6" x14ac:dyDescent="0.25">
      <c r="A24" s="10">
        <v>13</v>
      </c>
      <c r="B24" s="140" t="s">
        <v>73</v>
      </c>
      <c r="C24" s="141" t="s">
        <v>73</v>
      </c>
      <c r="D24" s="105">
        <f>D12</f>
        <v>0</v>
      </c>
      <c r="E24" s="57"/>
      <c r="F24" s="14">
        <f t="shared" si="0"/>
        <v>0</v>
      </c>
    </row>
    <row r="25" spans="1:6" x14ac:dyDescent="0.25">
      <c r="A25" s="10">
        <v>14</v>
      </c>
      <c r="B25" s="140" t="s">
        <v>67</v>
      </c>
      <c r="C25" s="141" t="s">
        <v>67</v>
      </c>
      <c r="D25" s="105">
        <f>D12</f>
        <v>0</v>
      </c>
      <c r="E25" s="57"/>
      <c r="F25" s="14">
        <f t="shared" si="0"/>
        <v>0</v>
      </c>
    </row>
    <row r="26" spans="1:6" x14ac:dyDescent="0.25">
      <c r="A26" s="10">
        <v>15</v>
      </c>
      <c r="B26" s="140" t="s">
        <v>57</v>
      </c>
      <c r="C26" s="141" t="s">
        <v>57</v>
      </c>
      <c r="D26" s="105">
        <f>D12</f>
        <v>0</v>
      </c>
      <c r="E26" s="57"/>
      <c r="F26" s="14">
        <f t="shared" si="0"/>
        <v>0</v>
      </c>
    </row>
    <row r="27" spans="1:6" x14ac:dyDescent="0.25">
      <c r="A27" s="10">
        <v>16</v>
      </c>
      <c r="B27" s="140" t="s">
        <v>58</v>
      </c>
      <c r="C27" s="141" t="s">
        <v>58</v>
      </c>
      <c r="D27" s="105">
        <f>D12</f>
        <v>0</v>
      </c>
      <c r="E27" s="57"/>
      <c r="F27" s="14">
        <f t="shared" si="0"/>
        <v>0</v>
      </c>
    </row>
    <row r="28" spans="1:6" x14ac:dyDescent="0.25">
      <c r="A28" s="10">
        <v>17</v>
      </c>
      <c r="B28" s="140" t="s">
        <v>61</v>
      </c>
      <c r="C28" s="141" t="s">
        <v>61</v>
      </c>
      <c r="D28" s="105">
        <f>D12</f>
        <v>0</v>
      </c>
      <c r="E28" s="57"/>
      <c r="F28" s="14">
        <f t="shared" si="0"/>
        <v>0</v>
      </c>
    </row>
    <row r="29" spans="1:6" x14ac:dyDescent="0.25">
      <c r="A29" s="10">
        <v>18</v>
      </c>
      <c r="B29" s="140" t="s">
        <v>62</v>
      </c>
      <c r="C29" s="141" t="s">
        <v>62</v>
      </c>
      <c r="D29" s="105">
        <f>D12</f>
        <v>0</v>
      </c>
      <c r="E29" s="57"/>
      <c r="F29" s="14">
        <f t="shared" si="0"/>
        <v>0</v>
      </c>
    </row>
    <row r="30" spans="1:6" x14ac:dyDescent="0.25">
      <c r="A30" s="10">
        <v>19</v>
      </c>
      <c r="B30" s="140" t="s">
        <v>63</v>
      </c>
      <c r="C30" s="141" t="s">
        <v>63</v>
      </c>
      <c r="D30" s="106">
        <v>0</v>
      </c>
      <c r="E30" s="60">
        <f>F12</f>
        <v>0</v>
      </c>
      <c r="F30" s="59">
        <f t="shared" si="0"/>
        <v>0</v>
      </c>
    </row>
    <row r="31" spans="1:6" x14ac:dyDescent="0.25">
      <c r="A31" s="10">
        <v>20</v>
      </c>
      <c r="B31" s="140" t="s">
        <v>70</v>
      </c>
      <c r="C31" s="141" t="s">
        <v>70</v>
      </c>
      <c r="D31" s="105">
        <v>0.01</v>
      </c>
      <c r="E31" s="61">
        <v>0</v>
      </c>
      <c r="F31" s="14">
        <f t="shared" si="0"/>
        <v>0</v>
      </c>
    </row>
    <row r="32" spans="1:6" ht="14.4" thickBot="1" x14ac:dyDescent="0.3">
      <c r="A32" s="15"/>
      <c r="D32" s="9"/>
      <c r="E32" s="13"/>
      <c r="F32" s="13"/>
    </row>
    <row r="33" spans="3:6" x14ac:dyDescent="0.25">
      <c r="C33" s="136" t="s">
        <v>89</v>
      </c>
      <c r="D33" s="137"/>
      <c r="E33" s="142">
        <f>SUM(F12:F31)</f>
        <v>0</v>
      </c>
      <c r="F33" s="143"/>
    </row>
    <row r="34" spans="3:6" ht="14.4" thickBot="1" x14ac:dyDescent="0.3">
      <c r="C34" s="138" t="s">
        <v>90</v>
      </c>
      <c r="D34" s="139"/>
      <c r="E34" s="134">
        <f>IF(E33&gt;0,E33/D12,0)</f>
        <v>0</v>
      </c>
      <c r="F34" s="135"/>
    </row>
    <row r="35" spans="3:6" x14ac:dyDescent="0.25">
      <c r="C35" s="7"/>
      <c r="D35" s="8"/>
      <c r="E35" s="6"/>
      <c r="F35" s="12"/>
    </row>
    <row r="36" spans="3:6" x14ac:dyDescent="0.25">
      <c r="C36" s="7"/>
      <c r="D36" s="8"/>
      <c r="E36" s="6"/>
      <c r="F36" s="6"/>
    </row>
    <row r="37" spans="3:6" x14ac:dyDescent="0.25">
      <c r="C37" s="7"/>
      <c r="D37" s="8"/>
      <c r="E37" s="6"/>
      <c r="F37" s="6"/>
    </row>
    <row r="38" spans="3:6" x14ac:dyDescent="0.25">
      <c r="C38" s="7"/>
      <c r="D38" s="8"/>
      <c r="E38" s="6"/>
      <c r="F38" s="6"/>
    </row>
    <row r="39" spans="3:6" x14ac:dyDescent="0.25">
      <c r="C39" s="7"/>
      <c r="D39" s="8"/>
      <c r="E39" s="6"/>
      <c r="F39" s="6"/>
    </row>
    <row r="40" spans="3:6" x14ac:dyDescent="0.25">
      <c r="C40" s="7"/>
      <c r="D40" s="8"/>
      <c r="E40" s="6"/>
      <c r="F40" s="6"/>
    </row>
    <row r="41" spans="3:6" x14ac:dyDescent="0.25">
      <c r="C41" s="7"/>
      <c r="D41" s="8"/>
      <c r="E41" s="6"/>
      <c r="F41" s="6"/>
    </row>
    <row r="42" spans="3:6" x14ac:dyDescent="0.25">
      <c r="C42" s="7"/>
      <c r="D42" s="8"/>
      <c r="E42" s="6"/>
      <c r="F42" s="6"/>
    </row>
    <row r="43" spans="3:6" x14ac:dyDescent="0.25">
      <c r="C43" s="7"/>
      <c r="D43" s="8"/>
      <c r="E43" s="6"/>
      <c r="F43" s="6"/>
    </row>
    <row r="44" spans="3:6" x14ac:dyDescent="0.25">
      <c r="C44" s="7"/>
      <c r="D44" s="8"/>
      <c r="E44" s="6"/>
      <c r="F44" s="6"/>
    </row>
    <row r="45" spans="3:6" x14ac:dyDescent="0.25">
      <c r="C45" s="7"/>
      <c r="D45" s="8"/>
      <c r="E45" s="6"/>
      <c r="F45" s="6"/>
    </row>
    <row r="46" spans="3:6" x14ac:dyDescent="0.25">
      <c r="C46" s="7"/>
      <c r="D46" s="8"/>
      <c r="E46" s="6"/>
      <c r="F46" s="6"/>
    </row>
    <row r="47" spans="3:6" x14ac:dyDescent="0.25">
      <c r="C47" s="7"/>
      <c r="D47" s="8"/>
      <c r="E47" s="6"/>
      <c r="F47" s="6"/>
    </row>
    <row r="48" spans="3:6" x14ac:dyDescent="0.25">
      <c r="C48" s="7"/>
      <c r="D48" s="8"/>
      <c r="E48" s="6"/>
      <c r="F48" s="6"/>
    </row>
    <row r="49" spans="3:6" x14ac:dyDescent="0.25">
      <c r="C49" s="7"/>
      <c r="D49" s="8"/>
      <c r="E49" s="6"/>
      <c r="F49" s="6"/>
    </row>
    <row r="50" spans="3:6" x14ac:dyDescent="0.25">
      <c r="C50" s="7"/>
      <c r="D50" s="8"/>
      <c r="E50" s="6"/>
      <c r="F50" s="6"/>
    </row>
    <row r="51" spans="3:6" x14ac:dyDescent="0.25">
      <c r="C51" s="7"/>
      <c r="D51" s="8"/>
      <c r="E51" s="6"/>
      <c r="F51" s="6"/>
    </row>
    <row r="52" spans="3:6" x14ac:dyDescent="0.25">
      <c r="C52" s="7"/>
      <c r="D52" s="8"/>
      <c r="E52" s="6"/>
      <c r="F52" s="6"/>
    </row>
    <row r="53" spans="3:6" x14ac:dyDescent="0.25">
      <c r="C53" s="7"/>
      <c r="D53" s="8"/>
      <c r="E53" s="6"/>
      <c r="F53" s="6"/>
    </row>
    <row r="54" spans="3:6" x14ac:dyDescent="0.25">
      <c r="C54" s="7"/>
      <c r="D54" s="8"/>
      <c r="E54" s="6"/>
      <c r="F54" s="6"/>
    </row>
    <row r="55" spans="3:6" x14ac:dyDescent="0.25">
      <c r="C55" s="7"/>
      <c r="D55" s="8"/>
      <c r="E55" s="6"/>
      <c r="F55" s="6"/>
    </row>
    <row r="56" spans="3:6" x14ac:dyDescent="0.25">
      <c r="C56" s="7"/>
      <c r="D56" s="8"/>
      <c r="E56" s="6"/>
      <c r="F56" s="6"/>
    </row>
    <row r="57" spans="3:6" x14ac:dyDescent="0.25">
      <c r="C57" s="7"/>
      <c r="D57" s="8"/>
      <c r="E57" s="6"/>
      <c r="F57" s="6"/>
    </row>
    <row r="58" spans="3:6" x14ac:dyDescent="0.25">
      <c r="C58" s="7"/>
      <c r="D58" s="8"/>
      <c r="E58" s="6"/>
      <c r="F58" s="6"/>
    </row>
    <row r="59" spans="3:6" x14ac:dyDescent="0.25">
      <c r="C59" s="7"/>
      <c r="D59" s="8"/>
      <c r="E59" s="6"/>
      <c r="F59" s="6"/>
    </row>
    <row r="60" spans="3:6" x14ac:dyDescent="0.25">
      <c r="C60" s="7"/>
      <c r="D60" s="8"/>
      <c r="E60" s="6"/>
      <c r="F60" s="6"/>
    </row>
    <row r="61" spans="3:6" x14ac:dyDescent="0.25">
      <c r="C61" s="7"/>
      <c r="D61" s="8"/>
      <c r="E61" s="6"/>
      <c r="F61" s="6"/>
    </row>
    <row r="62" spans="3:6" x14ac:dyDescent="0.25">
      <c r="C62" s="7"/>
      <c r="D62" s="8"/>
      <c r="E62" s="6"/>
      <c r="F62" s="6"/>
    </row>
    <row r="63" spans="3:6" x14ac:dyDescent="0.25">
      <c r="C63" s="7"/>
      <c r="D63" s="8"/>
      <c r="E63" s="6"/>
      <c r="F63" s="6"/>
    </row>
    <row r="64" spans="3:6" x14ac:dyDescent="0.25">
      <c r="C64" s="7"/>
      <c r="D64" s="8"/>
      <c r="E64" s="6"/>
      <c r="F64" s="6"/>
    </row>
    <row r="65" spans="3:6" x14ac:dyDescent="0.25">
      <c r="C65" s="7"/>
      <c r="D65" s="8"/>
      <c r="E65" s="6"/>
      <c r="F65" s="6"/>
    </row>
    <row r="66" spans="3:6" x14ac:dyDescent="0.25">
      <c r="C66" s="7"/>
      <c r="D66" s="6"/>
      <c r="E66" s="6"/>
      <c r="F66" s="6"/>
    </row>
    <row r="67" spans="3:6" x14ac:dyDescent="0.25">
      <c r="C67" s="7"/>
      <c r="D67" s="6"/>
      <c r="E67" s="6"/>
      <c r="F67" s="6"/>
    </row>
    <row r="68" spans="3:6" x14ac:dyDescent="0.25">
      <c r="C68" s="7"/>
      <c r="D68" s="6"/>
      <c r="E68" s="6"/>
      <c r="F68" s="6"/>
    </row>
    <row r="69" spans="3:6" x14ac:dyDescent="0.25">
      <c r="C69" s="7"/>
      <c r="D69" s="6"/>
      <c r="E69" s="6"/>
      <c r="F69" s="6"/>
    </row>
    <row r="70" spans="3:6" x14ac:dyDescent="0.25">
      <c r="C70" s="7"/>
      <c r="D70" s="6"/>
      <c r="E70" s="6"/>
      <c r="F70" s="6"/>
    </row>
    <row r="71" spans="3:6" x14ac:dyDescent="0.25">
      <c r="C71" s="7"/>
      <c r="D71" s="6"/>
      <c r="E71" s="6"/>
      <c r="F71" s="6"/>
    </row>
    <row r="72" spans="3:6" x14ac:dyDescent="0.25">
      <c r="C72" s="7"/>
      <c r="D72" s="6"/>
      <c r="E72" s="6"/>
      <c r="F72" s="6"/>
    </row>
    <row r="73" spans="3:6" x14ac:dyDescent="0.25">
      <c r="C73" s="7"/>
      <c r="D73" s="6"/>
      <c r="E73" s="6"/>
      <c r="F73" s="6"/>
    </row>
    <row r="74" spans="3:6" x14ac:dyDescent="0.25">
      <c r="C74" s="7"/>
      <c r="D74" s="6"/>
      <c r="E74" s="6"/>
      <c r="F74" s="6"/>
    </row>
    <row r="75" spans="3:6" x14ac:dyDescent="0.25">
      <c r="C75" s="7"/>
      <c r="D75" s="6"/>
      <c r="E75" s="6"/>
      <c r="F75" s="6"/>
    </row>
    <row r="76" spans="3:6" x14ac:dyDescent="0.25">
      <c r="C76" s="7"/>
      <c r="D76" s="6"/>
      <c r="E76" s="6"/>
      <c r="F76" s="6"/>
    </row>
    <row r="77" spans="3:6" x14ac:dyDescent="0.25">
      <c r="C77" s="7"/>
      <c r="D77" s="6"/>
      <c r="E77" s="6"/>
      <c r="F77" s="6"/>
    </row>
    <row r="78" spans="3:6" x14ac:dyDescent="0.25">
      <c r="C78" s="7"/>
      <c r="D78" s="6"/>
      <c r="E78" s="6"/>
      <c r="F78" s="6"/>
    </row>
    <row r="79" spans="3:6" x14ac:dyDescent="0.25">
      <c r="C79" s="7"/>
      <c r="D79" s="6"/>
      <c r="E79" s="6"/>
      <c r="F79" s="6"/>
    </row>
    <row r="80" spans="3:6" x14ac:dyDescent="0.25">
      <c r="C80" s="7"/>
      <c r="D80" s="6"/>
      <c r="E80" s="6"/>
      <c r="F80" s="6"/>
    </row>
    <row r="81" spans="3:6" x14ac:dyDescent="0.25">
      <c r="C81" s="7"/>
      <c r="D81" s="6"/>
      <c r="E81" s="6"/>
      <c r="F81" s="6"/>
    </row>
    <row r="82" spans="3:6" x14ac:dyDescent="0.25">
      <c r="C82" s="7"/>
      <c r="D82" s="6"/>
      <c r="E82" s="6"/>
      <c r="F82" s="6"/>
    </row>
    <row r="83" spans="3:6" x14ac:dyDescent="0.25">
      <c r="C83" s="7"/>
      <c r="D83" s="6"/>
      <c r="E83" s="6"/>
      <c r="F83" s="6"/>
    </row>
    <row r="84" spans="3:6" x14ac:dyDescent="0.25">
      <c r="C84" s="7"/>
      <c r="D84" s="6"/>
      <c r="E84" s="6"/>
      <c r="F84" s="6"/>
    </row>
    <row r="85" spans="3:6" x14ac:dyDescent="0.25">
      <c r="C85" s="7"/>
      <c r="D85" s="6"/>
      <c r="E85" s="6"/>
      <c r="F85" s="6"/>
    </row>
    <row r="86" spans="3:6" x14ac:dyDescent="0.25">
      <c r="C86" s="7"/>
      <c r="D86" s="6"/>
      <c r="E86" s="6"/>
      <c r="F86" s="6"/>
    </row>
    <row r="87" spans="3:6" x14ac:dyDescent="0.25">
      <c r="C87" s="7"/>
      <c r="D87" s="6"/>
      <c r="E87" s="6"/>
      <c r="F87" s="6"/>
    </row>
    <row r="88" spans="3:6" x14ac:dyDescent="0.25">
      <c r="C88" s="7"/>
      <c r="D88" s="6"/>
      <c r="E88" s="6"/>
      <c r="F88" s="6"/>
    </row>
    <row r="89" spans="3:6" x14ac:dyDescent="0.25">
      <c r="C89" s="7"/>
      <c r="D89" s="6"/>
      <c r="E89" s="6"/>
      <c r="F89" s="6"/>
    </row>
    <row r="90" spans="3:6" x14ac:dyDescent="0.25">
      <c r="C90" s="7"/>
      <c r="D90" s="6"/>
      <c r="E90" s="6"/>
      <c r="F90" s="6"/>
    </row>
    <row r="91" spans="3:6" x14ac:dyDescent="0.25">
      <c r="C91" s="7"/>
      <c r="D91" s="6"/>
      <c r="E91" s="6"/>
      <c r="F91" s="6"/>
    </row>
    <row r="92" spans="3:6" x14ac:dyDescent="0.25">
      <c r="C92" s="7"/>
      <c r="D92" s="6"/>
      <c r="E92" s="6"/>
      <c r="F92" s="6"/>
    </row>
    <row r="93" spans="3:6" x14ac:dyDescent="0.25">
      <c r="C93" s="7"/>
      <c r="D93" s="6"/>
      <c r="E93" s="6"/>
      <c r="F93" s="6"/>
    </row>
    <row r="94" spans="3:6" x14ac:dyDescent="0.25">
      <c r="C94" s="7"/>
      <c r="D94" s="6"/>
      <c r="E94" s="6"/>
      <c r="F94" s="6"/>
    </row>
    <row r="95" spans="3:6" x14ac:dyDescent="0.25">
      <c r="C95" s="7"/>
      <c r="D95" s="7"/>
      <c r="E95" s="7"/>
      <c r="F95" s="7"/>
    </row>
    <row r="96" spans="3:6" x14ac:dyDescent="0.25">
      <c r="C96" s="7"/>
      <c r="D96" s="7"/>
      <c r="E96" s="7"/>
      <c r="F96" s="7"/>
    </row>
    <row r="97" spans="3:6" x14ac:dyDescent="0.25">
      <c r="C97" s="7"/>
      <c r="D97" s="7"/>
      <c r="E97" s="7"/>
      <c r="F97" s="7"/>
    </row>
    <row r="98" spans="3:6" x14ac:dyDescent="0.25">
      <c r="C98" s="7"/>
      <c r="D98" s="7"/>
      <c r="E98" s="7"/>
      <c r="F98" s="7"/>
    </row>
    <row r="99" spans="3:6" x14ac:dyDescent="0.25">
      <c r="C99" s="7"/>
      <c r="D99" s="7"/>
      <c r="E99" s="7"/>
      <c r="F99" s="7"/>
    </row>
    <row r="100" spans="3:6" x14ac:dyDescent="0.25">
      <c r="C100" s="7"/>
      <c r="D100" s="7"/>
      <c r="E100" s="7"/>
      <c r="F100" s="7"/>
    </row>
    <row r="101" spans="3:6" x14ac:dyDescent="0.25">
      <c r="C101" s="7"/>
      <c r="D101" s="7"/>
      <c r="E101" s="7"/>
      <c r="F101" s="7"/>
    </row>
    <row r="102" spans="3:6" x14ac:dyDescent="0.25">
      <c r="C102" s="7"/>
      <c r="D102" s="7"/>
      <c r="E102" s="7"/>
      <c r="F102" s="7"/>
    </row>
    <row r="103" spans="3:6" x14ac:dyDescent="0.25">
      <c r="C103" s="7"/>
      <c r="D103" s="7"/>
      <c r="E103" s="7"/>
      <c r="F103" s="7"/>
    </row>
    <row r="104" spans="3:6" x14ac:dyDescent="0.25">
      <c r="C104" s="7"/>
      <c r="D104" s="7"/>
      <c r="E104" s="7"/>
      <c r="F104" s="7"/>
    </row>
    <row r="105" spans="3:6" x14ac:dyDescent="0.25">
      <c r="C105" s="7"/>
      <c r="D105" s="7"/>
      <c r="E105" s="7"/>
      <c r="F105" s="7"/>
    </row>
    <row r="106" spans="3:6" x14ac:dyDescent="0.25">
      <c r="C106" s="7"/>
      <c r="D106" s="7"/>
      <c r="E106" s="7"/>
      <c r="F106" s="7"/>
    </row>
    <row r="107" spans="3:6" x14ac:dyDescent="0.25">
      <c r="C107" s="7"/>
      <c r="D107" s="7"/>
      <c r="E107" s="7"/>
      <c r="F107" s="7"/>
    </row>
    <row r="108" spans="3:6" x14ac:dyDescent="0.25">
      <c r="C108" s="7"/>
      <c r="D108" s="7"/>
      <c r="E108" s="7"/>
      <c r="F108" s="7"/>
    </row>
    <row r="109" spans="3:6" x14ac:dyDescent="0.25">
      <c r="C109" s="7"/>
      <c r="D109" s="7"/>
      <c r="E109" s="7"/>
      <c r="F109" s="7"/>
    </row>
    <row r="110" spans="3:6" x14ac:dyDescent="0.25">
      <c r="C110" s="7"/>
      <c r="D110" s="7"/>
      <c r="E110" s="7"/>
      <c r="F110" s="7"/>
    </row>
    <row r="111" spans="3:6" x14ac:dyDescent="0.25">
      <c r="C111" s="7"/>
      <c r="D111" s="7"/>
      <c r="E111" s="7"/>
      <c r="F111" s="7"/>
    </row>
    <row r="112" spans="3:6" x14ac:dyDescent="0.25">
      <c r="C112" s="7"/>
      <c r="D112" s="7"/>
      <c r="E112" s="7"/>
      <c r="F112" s="7"/>
    </row>
    <row r="113" spans="3:6" x14ac:dyDescent="0.25">
      <c r="C113" s="7"/>
      <c r="D113" s="7"/>
      <c r="E113" s="7"/>
      <c r="F113" s="7"/>
    </row>
    <row r="114" spans="3:6" x14ac:dyDescent="0.25">
      <c r="C114" s="7"/>
      <c r="D114" s="7"/>
      <c r="E114" s="7"/>
      <c r="F114" s="7"/>
    </row>
    <row r="115" spans="3:6" x14ac:dyDescent="0.25">
      <c r="C115" s="7"/>
      <c r="D115" s="7"/>
      <c r="E115" s="7"/>
      <c r="F115" s="7"/>
    </row>
    <row r="116" spans="3:6" x14ac:dyDescent="0.25">
      <c r="C116" s="7"/>
      <c r="D116" s="7"/>
      <c r="E116" s="7"/>
      <c r="F116" s="7"/>
    </row>
    <row r="117" spans="3:6" x14ac:dyDescent="0.25">
      <c r="C117" s="7"/>
      <c r="D117" s="7"/>
      <c r="E117" s="7"/>
      <c r="F117" s="7"/>
    </row>
    <row r="118" spans="3:6" x14ac:dyDescent="0.25">
      <c r="C118" s="7"/>
      <c r="D118" s="7"/>
      <c r="E118" s="7"/>
      <c r="F118" s="7"/>
    </row>
    <row r="119" spans="3:6" x14ac:dyDescent="0.25">
      <c r="C119" s="7"/>
      <c r="D119" s="7"/>
      <c r="E119" s="7"/>
      <c r="F119" s="7"/>
    </row>
    <row r="120" spans="3:6" x14ac:dyDescent="0.25">
      <c r="C120" s="7"/>
      <c r="D120" s="7"/>
      <c r="E120" s="7"/>
      <c r="F120" s="7"/>
    </row>
    <row r="121" spans="3:6" x14ac:dyDescent="0.25">
      <c r="C121" s="7"/>
      <c r="D121" s="7"/>
      <c r="E121" s="7"/>
      <c r="F121" s="7"/>
    </row>
    <row r="122" spans="3:6" x14ac:dyDescent="0.25">
      <c r="C122" s="7"/>
      <c r="D122" s="7"/>
      <c r="E122" s="7"/>
      <c r="F122" s="7"/>
    </row>
    <row r="123" spans="3:6" x14ac:dyDescent="0.25">
      <c r="C123" s="7"/>
      <c r="D123" s="7"/>
      <c r="E123" s="7"/>
      <c r="F123" s="7"/>
    </row>
    <row r="124" spans="3:6" x14ac:dyDescent="0.25">
      <c r="C124" s="7"/>
      <c r="D124" s="7"/>
      <c r="E124" s="7"/>
      <c r="F124" s="7"/>
    </row>
    <row r="125" spans="3:6" x14ac:dyDescent="0.25">
      <c r="C125" s="7"/>
      <c r="D125" s="7"/>
      <c r="E125" s="7"/>
      <c r="F125" s="7"/>
    </row>
    <row r="126" spans="3:6" x14ac:dyDescent="0.25">
      <c r="C126" s="7"/>
      <c r="D126" s="7"/>
      <c r="E126" s="7"/>
      <c r="F126" s="7"/>
    </row>
    <row r="127" spans="3:6" x14ac:dyDescent="0.25">
      <c r="C127" s="7"/>
      <c r="D127" s="7"/>
      <c r="E127" s="7"/>
      <c r="F127" s="7"/>
    </row>
    <row r="128" spans="3:6" x14ac:dyDescent="0.25">
      <c r="C128" s="7"/>
      <c r="D128" s="7"/>
      <c r="E128" s="7"/>
      <c r="F128" s="7"/>
    </row>
    <row r="129" spans="3:6" x14ac:dyDescent="0.25">
      <c r="C129" s="7"/>
      <c r="D129" s="7"/>
      <c r="E129" s="7"/>
      <c r="F129" s="7"/>
    </row>
    <row r="130" spans="3:6" x14ac:dyDescent="0.25">
      <c r="C130" s="7"/>
      <c r="D130" s="7"/>
      <c r="E130" s="7"/>
      <c r="F130" s="7"/>
    </row>
    <row r="131" spans="3:6" x14ac:dyDescent="0.25">
      <c r="C131" s="7"/>
      <c r="D131" s="7"/>
      <c r="E131" s="7"/>
      <c r="F131" s="7"/>
    </row>
    <row r="132" spans="3:6" x14ac:dyDescent="0.25">
      <c r="C132" s="7"/>
      <c r="D132" s="7"/>
      <c r="E132" s="7"/>
      <c r="F132" s="7"/>
    </row>
    <row r="133" spans="3:6" x14ac:dyDescent="0.25">
      <c r="C133" s="7"/>
      <c r="D133" s="7"/>
      <c r="E133" s="7"/>
      <c r="F133" s="7"/>
    </row>
    <row r="134" spans="3:6" x14ac:dyDescent="0.25">
      <c r="C134" s="7"/>
      <c r="D134" s="7"/>
      <c r="E134" s="7"/>
      <c r="F134" s="7"/>
    </row>
    <row r="135" spans="3:6" x14ac:dyDescent="0.25">
      <c r="C135" s="7"/>
      <c r="D135" s="7"/>
      <c r="E135" s="7"/>
      <c r="F135" s="7"/>
    </row>
    <row r="136" spans="3:6" x14ac:dyDescent="0.25">
      <c r="C136" s="7"/>
      <c r="D136" s="7"/>
      <c r="E136" s="7"/>
      <c r="F136" s="7"/>
    </row>
    <row r="137" spans="3:6" x14ac:dyDescent="0.25">
      <c r="C137" s="7"/>
      <c r="D137" s="7"/>
      <c r="E137" s="7"/>
      <c r="F137" s="7"/>
    </row>
    <row r="138" spans="3:6" x14ac:dyDescent="0.25">
      <c r="C138" s="7"/>
      <c r="D138" s="7"/>
      <c r="E138" s="7"/>
      <c r="F138" s="7"/>
    </row>
    <row r="139" spans="3:6" x14ac:dyDescent="0.25">
      <c r="C139" s="7"/>
      <c r="D139" s="7"/>
      <c r="E139" s="7"/>
      <c r="F139" s="7"/>
    </row>
    <row r="140" spans="3:6" x14ac:dyDescent="0.25">
      <c r="C140" s="7"/>
      <c r="D140" s="7"/>
      <c r="E140" s="7"/>
      <c r="F140" s="7"/>
    </row>
    <row r="141" spans="3:6" x14ac:dyDescent="0.25">
      <c r="C141" s="7"/>
      <c r="D141" s="7"/>
      <c r="E141" s="7"/>
      <c r="F141" s="7"/>
    </row>
    <row r="142" spans="3:6" x14ac:dyDescent="0.25">
      <c r="C142" s="7"/>
      <c r="D142" s="7"/>
      <c r="E142" s="7"/>
      <c r="F142" s="7"/>
    </row>
    <row r="143" spans="3:6" x14ac:dyDescent="0.25">
      <c r="C143" s="7"/>
      <c r="D143" s="7"/>
      <c r="E143" s="7"/>
      <c r="F143" s="7"/>
    </row>
    <row r="144" spans="3:6" x14ac:dyDescent="0.25">
      <c r="C144" s="7"/>
      <c r="D144" s="7"/>
      <c r="E144" s="7"/>
      <c r="F144" s="7"/>
    </row>
    <row r="145" spans="3:6" x14ac:dyDescent="0.25">
      <c r="C145" s="7"/>
      <c r="D145" s="7"/>
      <c r="E145" s="7"/>
      <c r="F145" s="7"/>
    </row>
    <row r="146" spans="3:6" x14ac:dyDescent="0.25">
      <c r="C146" s="7"/>
      <c r="D146" s="7"/>
      <c r="E146" s="7"/>
      <c r="F146" s="7"/>
    </row>
    <row r="147" spans="3:6" x14ac:dyDescent="0.25">
      <c r="C147" s="7"/>
      <c r="D147" s="7"/>
      <c r="E147" s="7"/>
      <c r="F147" s="7"/>
    </row>
    <row r="148" spans="3:6" x14ac:dyDescent="0.25">
      <c r="C148" s="7"/>
      <c r="D148" s="7"/>
      <c r="E148" s="7"/>
      <c r="F148" s="7"/>
    </row>
    <row r="149" spans="3:6" x14ac:dyDescent="0.25">
      <c r="C149" s="7"/>
      <c r="D149" s="7"/>
      <c r="E149" s="7"/>
      <c r="F149" s="7"/>
    </row>
    <row r="150" spans="3:6" x14ac:dyDescent="0.25">
      <c r="C150" s="7"/>
      <c r="D150" s="7"/>
      <c r="E150" s="7"/>
      <c r="F150" s="7"/>
    </row>
    <row r="151" spans="3:6" x14ac:dyDescent="0.25">
      <c r="C151" s="7"/>
      <c r="D151" s="7"/>
      <c r="E151" s="7"/>
      <c r="F151" s="7"/>
    </row>
    <row r="152" spans="3:6" x14ac:dyDescent="0.25">
      <c r="C152" s="7"/>
      <c r="D152" s="7"/>
      <c r="E152" s="7"/>
      <c r="F152" s="7"/>
    </row>
    <row r="153" spans="3:6" x14ac:dyDescent="0.25">
      <c r="C153" s="7"/>
      <c r="D153" s="7"/>
      <c r="E153" s="7"/>
      <c r="F153" s="7"/>
    </row>
    <row r="154" spans="3:6" x14ac:dyDescent="0.25">
      <c r="C154" s="7"/>
      <c r="D154" s="7"/>
      <c r="E154" s="7"/>
      <c r="F154" s="7"/>
    </row>
    <row r="155" spans="3:6" x14ac:dyDescent="0.25">
      <c r="C155" s="7"/>
      <c r="D155" s="7"/>
      <c r="E155" s="7"/>
      <c r="F155" s="7"/>
    </row>
    <row r="156" spans="3:6" x14ac:dyDescent="0.25">
      <c r="C156" s="7"/>
      <c r="D156" s="7"/>
      <c r="E156" s="7"/>
      <c r="F156" s="7"/>
    </row>
    <row r="157" spans="3:6" x14ac:dyDescent="0.25">
      <c r="C157" s="7"/>
      <c r="D157" s="7"/>
      <c r="E157" s="7"/>
      <c r="F157" s="7"/>
    </row>
    <row r="158" spans="3:6" x14ac:dyDescent="0.25">
      <c r="C158" s="7"/>
      <c r="D158" s="7"/>
      <c r="E158" s="7"/>
      <c r="F158" s="7"/>
    </row>
    <row r="159" spans="3:6" x14ac:dyDescent="0.25">
      <c r="C159" s="7"/>
      <c r="D159" s="7"/>
      <c r="E159" s="7"/>
      <c r="F159" s="7"/>
    </row>
    <row r="160" spans="3:6" x14ac:dyDescent="0.25">
      <c r="C160" s="7"/>
      <c r="D160" s="7"/>
      <c r="E160" s="7"/>
      <c r="F160" s="7"/>
    </row>
    <row r="161" spans="3:6" x14ac:dyDescent="0.25">
      <c r="C161" s="7"/>
      <c r="D161" s="7"/>
      <c r="E161" s="7"/>
      <c r="F161" s="7"/>
    </row>
    <row r="162" spans="3:6" x14ac:dyDescent="0.25">
      <c r="C162" s="7"/>
      <c r="D162" s="7"/>
      <c r="E162" s="7"/>
      <c r="F162" s="7"/>
    </row>
    <row r="163" spans="3:6" x14ac:dyDescent="0.25">
      <c r="C163" s="7"/>
      <c r="D163" s="7"/>
      <c r="E163" s="7"/>
      <c r="F163" s="7"/>
    </row>
    <row r="164" spans="3:6" x14ac:dyDescent="0.25">
      <c r="C164" s="7"/>
      <c r="D164" s="7"/>
      <c r="E164" s="7"/>
      <c r="F164" s="7"/>
    </row>
    <row r="165" spans="3:6" x14ac:dyDescent="0.25">
      <c r="C165" s="7"/>
      <c r="D165" s="7"/>
      <c r="E165" s="7"/>
      <c r="F165" s="7"/>
    </row>
    <row r="166" spans="3:6" x14ac:dyDescent="0.25">
      <c r="C166" s="7"/>
      <c r="D166" s="7"/>
      <c r="E166" s="7"/>
      <c r="F166" s="7"/>
    </row>
    <row r="167" spans="3:6" x14ac:dyDescent="0.25">
      <c r="C167" s="7"/>
      <c r="D167" s="7"/>
      <c r="E167" s="7"/>
      <c r="F167" s="7"/>
    </row>
    <row r="168" spans="3:6" x14ac:dyDescent="0.25">
      <c r="C168" s="7"/>
      <c r="D168" s="7"/>
      <c r="E168" s="7"/>
      <c r="F168" s="7"/>
    </row>
    <row r="169" spans="3:6" x14ac:dyDescent="0.25">
      <c r="C169" s="7"/>
      <c r="D169" s="7"/>
      <c r="E169" s="7"/>
      <c r="F169" s="7"/>
    </row>
    <row r="170" spans="3:6" x14ac:dyDescent="0.25">
      <c r="C170" s="7"/>
      <c r="D170" s="7"/>
      <c r="E170" s="7"/>
      <c r="F170" s="7"/>
    </row>
    <row r="171" spans="3:6" x14ac:dyDescent="0.25">
      <c r="C171" s="7"/>
      <c r="D171" s="7"/>
      <c r="E171" s="7"/>
      <c r="F171" s="7"/>
    </row>
    <row r="172" spans="3:6" x14ac:dyDescent="0.25">
      <c r="C172" s="7"/>
      <c r="D172" s="7"/>
      <c r="E172" s="7"/>
      <c r="F172" s="7"/>
    </row>
    <row r="173" spans="3:6" x14ac:dyDescent="0.25">
      <c r="C173" s="7"/>
      <c r="D173" s="7"/>
      <c r="E173" s="7"/>
      <c r="F173" s="7"/>
    </row>
    <row r="174" spans="3:6" x14ac:dyDescent="0.25">
      <c r="C174" s="7"/>
      <c r="D174" s="7"/>
      <c r="E174" s="7"/>
      <c r="F174" s="7"/>
    </row>
    <row r="175" spans="3:6" x14ac:dyDescent="0.25">
      <c r="C175" s="7"/>
      <c r="D175" s="7"/>
      <c r="E175" s="7"/>
      <c r="F175" s="7"/>
    </row>
    <row r="176" spans="3:6" x14ac:dyDescent="0.25">
      <c r="C176" s="7"/>
      <c r="D176" s="7"/>
      <c r="E176" s="7"/>
      <c r="F176" s="7"/>
    </row>
    <row r="177" spans="3:6" x14ac:dyDescent="0.25">
      <c r="C177" s="7"/>
      <c r="D177" s="7"/>
      <c r="E177" s="7"/>
      <c r="F177" s="7"/>
    </row>
    <row r="178" spans="3:6" x14ac:dyDescent="0.25">
      <c r="C178" s="7"/>
      <c r="D178" s="7"/>
      <c r="E178" s="7"/>
      <c r="F178" s="7"/>
    </row>
    <row r="179" spans="3:6" x14ac:dyDescent="0.25">
      <c r="C179" s="7"/>
      <c r="D179" s="7"/>
      <c r="E179" s="7"/>
      <c r="F179" s="7"/>
    </row>
    <row r="180" spans="3:6" x14ac:dyDescent="0.25">
      <c r="C180" s="7"/>
      <c r="D180" s="7"/>
      <c r="E180" s="7"/>
      <c r="F180" s="7"/>
    </row>
    <row r="181" spans="3:6" x14ac:dyDescent="0.25">
      <c r="C181" s="7"/>
      <c r="D181" s="7"/>
      <c r="E181" s="7"/>
      <c r="F181" s="7"/>
    </row>
    <row r="182" spans="3:6" x14ac:dyDescent="0.25">
      <c r="C182" s="7"/>
      <c r="D182" s="7"/>
      <c r="E182" s="7"/>
      <c r="F182" s="7"/>
    </row>
    <row r="183" spans="3:6" x14ac:dyDescent="0.25">
      <c r="C183" s="7"/>
      <c r="D183" s="7"/>
      <c r="E183" s="7"/>
      <c r="F183" s="7"/>
    </row>
    <row r="184" spans="3:6" x14ac:dyDescent="0.25">
      <c r="C184" s="7"/>
      <c r="D184" s="7"/>
      <c r="E184" s="7"/>
      <c r="F184" s="7"/>
    </row>
    <row r="185" spans="3:6" x14ac:dyDescent="0.25">
      <c r="C185" s="7"/>
      <c r="D185" s="7"/>
      <c r="E185" s="7"/>
      <c r="F185" s="7"/>
    </row>
    <row r="186" spans="3:6" x14ac:dyDescent="0.25">
      <c r="C186" s="7"/>
      <c r="D186" s="7"/>
      <c r="E186" s="7"/>
      <c r="F186" s="7"/>
    </row>
    <row r="187" spans="3:6" x14ac:dyDescent="0.25">
      <c r="C187" s="7"/>
      <c r="D187" s="7"/>
      <c r="E187" s="7"/>
      <c r="F187" s="7"/>
    </row>
    <row r="188" spans="3:6" x14ac:dyDescent="0.25">
      <c r="C188" s="7"/>
      <c r="D188" s="7"/>
      <c r="E188" s="7"/>
      <c r="F188" s="7"/>
    </row>
    <row r="189" spans="3:6" x14ac:dyDescent="0.25">
      <c r="C189" s="7"/>
      <c r="D189" s="7"/>
      <c r="E189" s="7"/>
      <c r="F189" s="7"/>
    </row>
    <row r="190" spans="3:6" x14ac:dyDescent="0.25">
      <c r="C190" s="7"/>
      <c r="D190" s="7"/>
      <c r="E190" s="7"/>
      <c r="F190" s="7"/>
    </row>
    <row r="191" spans="3:6" x14ac:dyDescent="0.25">
      <c r="C191" s="7"/>
      <c r="D191" s="7"/>
      <c r="E191" s="7"/>
      <c r="F191" s="7"/>
    </row>
    <row r="192" spans="3:6" x14ac:dyDescent="0.25">
      <c r="C192" s="7"/>
      <c r="D192" s="7"/>
      <c r="E192" s="7"/>
      <c r="F192" s="7"/>
    </row>
    <row r="193" spans="3:6" x14ac:dyDescent="0.25">
      <c r="C193" s="7"/>
      <c r="D193" s="7"/>
      <c r="E193" s="7"/>
      <c r="F193" s="7"/>
    </row>
    <row r="194" spans="3:6" x14ac:dyDescent="0.25">
      <c r="C194" s="7"/>
      <c r="D194" s="7"/>
      <c r="E194" s="7"/>
      <c r="F194" s="7"/>
    </row>
    <row r="195" spans="3:6" x14ac:dyDescent="0.25">
      <c r="C195" s="7"/>
      <c r="D195" s="7"/>
      <c r="E195" s="7"/>
      <c r="F195" s="7"/>
    </row>
    <row r="196" spans="3:6" x14ac:dyDescent="0.25">
      <c r="C196" s="7"/>
      <c r="D196" s="7"/>
      <c r="E196" s="7"/>
      <c r="F196" s="7"/>
    </row>
    <row r="197" spans="3:6" x14ac:dyDescent="0.25">
      <c r="C197" s="7"/>
      <c r="D197" s="7"/>
      <c r="E197" s="7"/>
      <c r="F197" s="7"/>
    </row>
    <row r="198" spans="3:6" x14ac:dyDescent="0.25">
      <c r="C198" s="7"/>
      <c r="D198" s="7"/>
      <c r="E198" s="7"/>
      <c r="F198" s="7"/>
    </row>
    <row r="199" spans="3:6" x14ac:dyDescent="0.25">
      <c r="C199" s="7"/>
      <c r="D199" s="7"/>
      <c r="E199" s="7"/>
      <c r="F199" s="7"/>
    </row>
    <row r="200" spans="3:6" x14ac:dyDescent="0.25">
      <c r="C200" s="7"/>
      <c r="D200" s="7"/>
      <c r="E200" s="7"/>
      <c r="F200" s="7"/>
    </row>
    <row r="201" spans="3:6" x14ac:dyDescent="0.25">
      <c r="C201" s="7"/>
      <c r="D201" s="7"/>
      <c r="E201" s="7"/>
      <c r="F201" s="7"/>
    </row>
    <row r="202" spans="3:6" x14ac:dyDescent="0.25">
      <c r="C202" s="7"/>
      <c r="D202" s="7"/>
      <c r="E202" s="7"/>
      <c r="F202" s="7"/>
    </row>
    <row r="203" spans="3:6" x14ac:dyDescent="0.25">
      <c r="C203" s="7"/>
      <c r="D203" s="7"/>
      <c r="E203" s="7"/>
      <c r="F203" s="7"/>
    </row>
    <row r="204" spans="3:6" x14ac:dyDescent="0.25">
      <c r="C204" s="7"/>
      <c r="D204" s="7"/>
      <c r="E204" s="7"/>
      <c r="F204" s="7"/>
    </row>
    <row r="205" spans="3:6" x14ac:dyDescent="0.25">
      <c r="C205" s="7"/>
      <c r="D205" s="7"/>
      <c r="E205" s="7"/>
      <c r="F205" s="7"/>
    </row>
    <row r="206" spans="3:6" x14ac:dyDescent="0.25">
      <c r="C206" s="7"/>
      <c r="D206" s="7"/>
      <c r="E206" s="7"/>
      <c r="F206" s="7"/>
    </row>
    <row r="207" spans="3:6" x14ac:dyDescent="0.25">
      <c r="C207" s="7"/>
      <c r="D207" s="7"/>
      <c r="E207" s="7"/>
      <c r="F207" s="7"/>
    </row>
    <row r="208" spans="3:6" x14ac:dyDescent="0.25">
      <c r="C208" s="7"/>
      <c r="D208" s="7"/>
      <c r="E208" s="7"/>
      <c r="F208" s="7"/>
    </row>
    <row r="209" spans="3:6" x14ac:dyDescent="0.25">
      <c r="C209" s="7"/>
      <c r="D209" s="7"/>
      <c r="E209" s="7"/>
      <c r="F209" s="7"/>
    </row>
    <row r="210" spans="3:6" x14ac:dyDescent="0.25">
      <c r="C210" s="7"/>
      <c r="D210" s="7"/>
      <c r="E210" s="7"/>
      <c r="F210" s="7"/>
    </row>
    <row r="211" spans="3:6" x14ac:dyDescent="0.25">
      <c r="C211" s="7"/>
      <c r="D211" s="7"/>
      <c r="E211" s="7"/>
      <c r="F211" s="7"/>
    </row>
    <row r="212" spans="3:6" x14ac:dyDescent="0.25">
      <c r="C212" s="7"/>
      <c r="D212" s="7"/>
      <c r="E212" s="7"/>
      <c r="F212" s="7"/>
    </row>
    <row r="213" spans="3:6" x14ac:dyDescent="0.25">
      <c r="C213" s="7"/>
      <c r="D213" s="7"/>
      <c r="E213" s="7"/>
      <c r="F213" s="7"/>
    </row>
    <row r="214" spans="3:6" x14ac:dyDescent="0.25">
      <c r="C214" s="7"/>
      <c r="D214" s="7"/>
      <c r="E214" s="7"/>
      <c r="F214" s="7"/>
    </row>
    <row r="215" spans="3:6" x14ac:dyDescent="0.25">
      <c r="C215" s="7"/>
      <c r="D215" s="7"/>
      <c r="E215" s="7"/>
      <c r="F215" s="7"/>
    </row>
    <row r="216" spans="3:6" x14ac:dyDescent="0.25">
      <c r="C216" s="7"/>
      <c r="D216" s="7"/>
      <c r="E216" s="7"/>
      <c r="F216" s="7"/>
    </row>
    <row r="217" spans="3:6" x14ac:dyDescent="0.25">
      <c r="C217" s="7"/>
      <c r="D217" s="7"/>
      <c r="E217" s="7"/>
      <c r="F217" s="7"/>
    </row>
    <row r="218" spans="3:6" x14ac:dyDescent="0.25">
      <c r="C218" s="7"/>
      <c r="D218" s="7"/>
      <c r="E218" s="7"/>
      <c r="F218" s="7"/>
    </row>
    <row r="219" spans="3:6" x14ac:dyDescent="0.25">
      <c r="C219" s="7"/>
      <c r="D219" s="7"/>
      <c r="E219" s="7"/>
      <c r="F219" s="7"/>
    </row>
    <row r="220" spans="3:6" x14ac:dyDescent="0.25">
      <c r="C220" s="7"/>
      <c r="D220" s="7"/>
      <c r="E220" s="7"/>
      <c r="F220" s="7"/>
    </row>
    <row r="221" spans="3:6" x14ac:dyDescent="0.25">
      <c r="C221" s="7"/>
      <c r="D221" s="7"/>
      <c r="E221" s="7"/>
      <c r="F221" s="7"/>
    </row>
    <row r="222" spans="3:6" x14ac:dyDescent="0.25">
      <c r="C222" s="7"/>
      <c r="D222" s="7"/>
      <c r="E222" s="7"/>
      <c r="F222" s="7"/>
    </row>
    <row r="223" spans="3:6" x14ac:dyDescent="0.25">
      <c r="C223" s="7"/>
      <c r="D223" s="7"/>
      <c r="E223" s="7"/>
      <c r="F223" s="7"/>
    </row>
    <row r="224" spans="3:6" x14ac:dyDescent="0.25">
      <c r="C224" s="7"/>
      <c r="D224" s="7"/>
      <c r="E224" s="7"/>
      <c r="F224" s="7"/>
    </row>
    <row r="225" spans="3:6" x14ac:dyDescent="0.25">
      <c r="C225" s="7"/>
      <c r="D225" s="7"/>
      <c r="E225" s="7"/>
      <c r="F225" s="7"/>
    </row>
    <row r="226" spans="3:6" x14ac:dyDescent="0.25">
      <c r="C226" s="7"/>
      <c r="D226" s="7"/>
      <c r="E226" s="7"/>
      <c r="F226" s="7"/>
    </row>
    <row r="227" spans="3:6" x14ac:dyDescent="0.25">
      <c r="C227" s="7"/>
      <c r="D227" s="7"/>
      <c r="E227" s="7"/>
      <c r="F227" s="7"/>
    </row>
    <row r="228" spans="3:6" x14ac:dyDescent="0.25">
      <c r="C228" s="7"/>
      <c r="D228" s="7"/>
      <c r="E228" s="7"/>
      <c r="F228" s="7"/>
    </row>
    <row r="229" spans="3:6" x14ac:dyDescent="0.25">
      <c r="C229" s="7"/>
      <c r="D229" s="7"/>
      <c r="E229" s="7"/>
      <c r="F229" s="7"/>
    </row>
    <row r="230" spans="3:6" x14ac:dyDescent="0.25">
      <c r="C230" s="7"/>
      <c r="D230" s="7"/>
      <c r="E230" s="7"/>
      <c r="F230" s="7"/>
    </row>
    <row r="231" spans="3:6" x14ac:dyDescent="0.25">
      <c r="C231" s="7"/>
      <c r="D231" s="7"/>
      <c r="E231" s="7"/>
      <c r="F231" s="7"/>
    </row>
    <row r="232" spans="3:6" x14ac:dyDescent="0.25">
      <c r="C232" s="7"/>
      <c r="D232" s="7"/>
      <c r="E232" s="7"/>
      <c r="F232" s="7"/>
    </row>
    <row r="233" spans="3:6" x14ac:dyDescent="0.25">
      <c r="C233" s="7"/>
      <c r="D233" s="7"/>
      <c r="E233" s="7"/>
      <c r="F233" s="7"/>
    </row>
  </sheetData>
  <sheetProtection formatCells="0" formatColumns="0" formatRows="0" insertColumns="0" insertRows="0" insertHyperlinks="0" deleteColumns="0" deleteRows="0" sort="0" autoFilter="0" pivotTables="0"/>
  <mergeCells count="29">
    <mergeCell ref="B31:C31"/>
    <mergeCell ref="C33:D33"/>
    <mergeCell ref="E33:F33"/>
    <mergeCell ref="C34:D34"/>
    <mergeCell ref="E34:F34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8:C18"/>
    <mergeCell ref="A1:F1"/>
    <mergeCell ref="D6:E6"/>
    <mergeCell ref="D7:E7"/>
    <mergeCell ref="D8:E8"/>
    <mergeCell ref="B11:C11"/>
    <mergeCell ref="B12:C12"/>
    <mergeCell ref="B13:C13"/>
    <mergeCell ref="B14:C14"/>
    <mergeCell ref="B15:C15"/>
    <mergeCell ref="B16:C16"/>
    <mergeCell ref="B17:C17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4451F-5D59-48D5-9136-2AF18142E351}">
  <dimension ref="A1:J233"/>
  <sheetViews>
    <sheetView showGridLines="0" topLeftCell="A10" workbookViewId="0">
      <selection activeCell="D12" sqref="D12"/>
    </sheetView>
  </sheetViews>
  <sheetFormatPr defaultRowHeight="13.8" x14ac:dyDescent="0.25"/>
  <cols>
    <col min="1" max="1" width="4.69921875" style="6" customWidth="1"/>
    <col min="2" max="2" width="20.69921875" style="6" customWidth="1"/>
    <col min="3" max="3" width="20.69921875" customWidth="1"/>
    <col min="4" max="4" width="7.69921875" customWidth="1"/>
    <col min="5" max="6" width="15.296875" customWidth="1"/>
    <col min="9" max="9" width="13.296875" customWidth="1"/>
  </cols>
  <sheetData>
    <row r="1" spans="1:10" ht="18" x14ac:dyDescent="0.25">
      <c r="A1" s="126" t="s">
        <v>79</v>
      </c>
      <c r="B1" s="127"/>
      <c r="C1" s="127"/>
      <c r="D1" s="127"/>
      <c r="E1" s="127"/>
      <c r="F1" s="128"/>
    </row>
    <row r="2" spans="1:10" x14ac:dyDescent="0.25">
      <c r="A2" s="15"/>
      <c r="B2" s="63" t="s">
        <v>45</v>
      </c>
      <c r="C2" s="16"/>
      <c r="D2" s="16"/>
      <c r="E2" s="62" t="s">
        <v>80</v>
      </c>
      <c r="F2" s="21"/>
    </row>
    <row r="3" spans="1:10" x14ac:dyDescent="0.25">
      <c r="A3" s="15"/>
      <c r="B3" s="63" t="s">
        <v>33</v>
      </c>
      <c r="C3" s="16"/>
      <c r="E3" s="62" t="s">
        <v>34</v>
      </c>
      <c r="F3" s="50"/>
    </row>
    <row r="4" spans="1:10" ht="15.6" x14ac:dyDescent="0.3">
      <c r="A4" s="15"/>
      <c r="B4" s="63" t="s">
        <v>35</v>
      </c>
      <c r="C4" s="16"/>
      <c r="D4" s="17"/>
      <c r="E4" s="62" t="s">
        <v>37</v>
      </c>
      <c r="F4" s="51"/>
    </row>
    <row r="5" spans="1:10" ht="15.6" x14ac:dyDescent="0.3">
      <c r="A5" s="15"/>
      <c r="B5" s="16"/>
      <c r="C5" s="16"/>
      <c r="D5" s="1"/>
      <c r="E5" s="17"/>
      <c r="F5" s="18"/>
    </row>
    <row r="6" spans="1:10" ht="15.6" x14ac:dyDescent="0.3">
      <c r="A6" s="15"/>
      <c r="B6" s="63" t="s">
        <v>55</v>
      </c>
      <c r="C6" s="16"/>
      <c r="D6" s="144"/>
      <c r="E6" s="144"/>
      <c r="F6" s="18"/>
    </row>
    <row r="7" spans="1:10" ht="15.6" x14ac:dyDescent="0.3">
      <c r="A7" s="15"/>
      <c r="B7" s="63" t="s">
        <v>50</v>
      </c>
      <c r="C7" s="16"/>
      <c r="D7" s="145"/>
      <c r="E7" s="145"/>
      <c r="F7" s="18"/>
    </row>
    <row r="8" spans="1:10" ht="15.6" x14ac:dyDescent="0.3">
      <c r="A8" s="15"/>
      <c r="B8" s="63" t="s">
        <v>105</v>
      </c>
      <c r="C8" s="16"/>
      <c r="D8" s="146" t="s">
        <v>106</v>
      </c>
      <c r="E8" s="146"/>
      <c r="F8" s="19"/>
    </row>
    <row r="9" spans="1:10" x14ac:dyDescent="0.25">
      <c r="A9" s="15"/>
      <c r="F9" s="20"/>
    </row>
    <row r="10" spans="1:10" x14ac:dyDescent="0.25">
      <c r="A10" s="15"/>
      <c r="F10" s="20"/>
    </row>
    <row r="11" spans="1:10" x14ac:dyDescent="0.25">
      <c r="A11" s="10" t="s">
        <v>64</v>
      </c>
      <c r="B11" s="147" t="s">
        <v>46</v>
      </c>
      <c r="C11" s="148"/>
      <c r="D11" s="11" t="s">
        <v>47</v>
      </c>
      <c r="E11" s="11" t="s">
        <v>49</v>
      </c>
      <c r="F11" s="11" t="s">
        <v>48</v>
      </c>
      <c r="I11" s="55" t="s">
        <v>88</v>
      </c>
      <c r="J11" s="53">
        <v>1</v>
      </c>
    </row>
    <row r="12" spans="1:10" x14ac:dyDescent="0.25">
      <c r="A12" s="10">
        <v>1</v>
      </c>
      <c r="B12" s="140" t="s">
        <v>51</v>
      </c>
      <c r="C12" s="141"/>
      <c r="D12" s="105">
        <v>0</v>
      </c>
      <c r="E12" s="57">
        <v>1000</v>
      </c>
      <c r="F12" s="14">
        <f t="shared" ref="F12:F31" si="0">D12*E12</f>
        <v>0</v>
      </c>
      <c r="I12" s="56" t="s">
        <v>87</v>
      </c>
      <c r="J12" s="54">
        <v>1</v>
      </c>
    </row>
    <row r="13" spans="1:10" x14ac:dyDescent="0.25">
      <c r="A13" s="10">
        <v>2</v>
      </c>
      <c r="B13" s="140" t="s">
        <v>52</v>
      </c>
      <c r="C13" s="141" t="s">
        <v>52</v>
      </c>
      <c r="D13" s="106">
        <v>0.05</v>
      </c>
      <c r="E13" s="52">
        <f>D12*E12</f>
        <v>0</v>
      </c>
      <c r="F13" s="14">
        <f t="shared" si="0"/>
        <v>0</v>
      </c>
      <c r="I13" s="55" t="s">
        <v>86</v>
      </c>
      <c r="J13" s="28">
        <v>1</v>
      </c>
    </row>
    <row r="14" spans="1:10" x14ac:dyDescent="0.25">
      <c r="A14" s="10">
        <v>3</v>
      </c>
      <c r="B14" s="140" t="s">
        <v>54</v>
      </c>
      <c r="C14" s="141" t="s">
        <v>54</v>
      </c>
      <c r="D14" s="106">
        <v>0.05</v>
      </c>
      <c r="E14" s="52">
        <f>D12*E12</f>
        <v>0</v>
      </c>
      <c r="F14" s="14">
        <f>D14*E14</f>
        <v>0</v>
      </c>
    </row>
    <row r="15" spans="1:10" x14ac:dyDescent="0.25">
      <c r="A15" s="10">
        <v>4</v>
      </c>
      <c r="B15" s="140" t="s">
        <v>56</v>
      </c>
      <c r="C15" s="141" t="s">
        <v>56</v>
      </c>
      <c r="D15" s="106">
        <v>0.05</v>
      </c>
      <c r="E15" s="52">
        <f>F12+F13</f>
        <v>0</v>
      </c>
      <c r="F15" s="14">
        <f t="shared" si="0"/>
        <v>0</v>
      </c>
    </row>
    <row r="16" spans="1:10" x14ac:dyDescent="0.25">
      <c r="A16" s="10">
        <v>5</v>
      </c>
      <c r="B16" s="140" t="s">
        <v>53</v>
      </c>
      <c r="C16" s="141" t="s">
        <v>53</v>
      </c>
      <c r="D16" s="105">
        <f>D12</f>
        <v>0</v>
      </c>
      <c r="E16" s="57"/>
      <c r="F16" s="14">
        <f t="shared" si="0"/>
        <v>0</v>
      </c>
    </row>
    <row r="17" spans="1:6" x14ac:dyDescent="0.25">
      <c r="A17" s="10">
        <v>6</v>
      </c>
      <c r="B17" s="140" t="s">
        <v>72</v>
      </c>
      <c r="C17" s="141" t="s">
        <v>72</v>
      </c>
      <c r="D17" s="105">
        <f>D12</f>
        <v>0</v>
      </c>
      <c r="E17" s="57"/>
      <c r="F17" s="14">
        <f t="shared" si="0"/>
        <v>0</v>
      </c>
    </row>
    <row r="18" spans="1:6" x14ac:dyDescent="0.25">
      <c r="A18" s="10">
        <v>7</v>
      </c>
      <c r="B18" s="140" t="s">
        <v>71</v>
      </c>
      <c r="C18" s="141" t="s">
        <v>71</v>
      </c>
      <c r="D18" s="105">
        <v>0</v>
      </c>
      <c r="E18" s="57"/>
      <c r="F18" s="14">
        <f t="shared" si="0"/>
        <v>0</v>
      </c>
    </row>
    <row r="19" spans="1:6" x14ac:dyDescent="0.25">
      <c r="A19" s="10">
        <v>8</v>
      </c>
      <c r="B19" s="140" t="s">
        <v>25</v>
      </c>
      <c r="C19" s="141" t="s">
        <v>25</v>
      </c>
      <c r="D19" s="105">
        <f>D12</f>
        <v>0</v>
      </c>
      <c r="E19" s="57"/>
      <c r="F19" s="14">
        <f t="shared" si="0"/>
        <v>0</v>
      </c>
    </row>
    <row r="20" spans="1:6" x14ac:dyDescent="0.25">
      <c r="A20" s="10">
        <v>9</v>
      </c>
      <c r="B20" s="140" t="s">
        <v>60</v>
      </c>
      <c r="C20" s="141" t="s">
        <v>60</v>
      </c>
      <c r="D20" s="105">
        <f>D12</f>
        <v>0</v>
      </c>
      <c r="E20" s="57"/>
      <c r="F20" s="14">
        <f t="shared" si="0"/>
        <v>0</v>
      </c>
    </row>
    <row r="21" spans="1:6" x14ac:dyDescent="0.25">
      <c r="A21" s="10">
        <v>10</v>
      </c>
      <c r="B21" s="140" t="s">
        <v>59</v>
      </c>
      <c r="C21" s="141" t="s">
        <v>59</v>
      </c>
      <c r="D21" s="105">
        <f>D12</f>
        <v>0</v>
      </c>
      <c r="E21" s="57"/>
      <c r="F21" s="14">
        <f t="shared" si="0"/>
        <v>0</v>
      </c>
    </row>
    <row r="22" spans="1:6" x14ac:dyDescent="0.25">
      <c r="A22" s="10">
        <v>11</v>
      </c>
      <c r="B22" s="140" t="s">
        <v>65</v>
      </c>
      <c r="C22" s="141" t="s">
        <v>65</v>
      </c>
      <c r="D22" s="105">
        <f>D12</f>
        <v>0</v>
      </c>
      <c r="E22" s="57"/>
      <c r="F22" s="14">
        <f t="shared" si="0"/>
        <v>0</v>
      </c>
    </row>
    <row r="23" spans="1:6" x14ac:dyDescent="0.25">
      <c r="A23" s="10">
        <v>12</v>
      </c>
      <c r="B23" s="140" t="s">
        <v>66</v>
      </c>
      <c r="C23" s="141" t="s">
        <v>66</v>
      </c>
      <c r="D23" s="105">
        <f>D12</f>
        <v>0</v>
      </c>
      <c r="E23" s="57"/>
      <c r="F23" s="14">
        <f t="shared" si="0"/>
        <v>0</v>
      </c>
    </row>
    <row r="24" spans="1:6" x14ac:dyDescent="0.25">
      <c r="A24" s="10">
        <v>13</v>
      </c>
      <c r="B24" s="140" t="s">
        <v>73</v>
      </c>
      <c r="C24" s="141" t="s">
        <v>73</v>
      </c>
      <c r="D24" s="105">
        <f>D12</f>
        <v>0</v>
      </c>
      <c r="E24" s="57"/>
      <c r="F24" s="14">
        <f t="shared" si="0"/>
        <v>0</v>
      </c>
    </row>
    <row r="25" spans="1:6" x14ac:dyDescent="0.25">
      <c r="A25" s="10">
        <v>14</v>
      </c>
      <c r="B25" s="140" t="s">
        <v>67</v>
      </c>
      <c r="C25" s="141" t="s">
        <v>67</v>
      </c>
      <c r="D25" s="105">
        <f>D12</f>
        <v>0</v>
      </c>
      <c r="E25" s="57"/>
      <c r="F25" s="14">
        <f t="shared" si="0"/>
        <v>0</v>
      </c>
    </row>
    <row r="26" spans="1:6" x14ac:dyDescent="0.25">
      <c r="A26" s="10">
        <v>15</v>
      </c>
      <c r="B26" s="140" t="s">
        <v>57</v>
      </c>
      <c r="C26" s="141" t="s">
        <v>57</v>
      </c>
      <c r="D26" s="105">
        <f>D12</f>
        <v>0</v>
      </c>
      <c r="E26" s="57"/>
      <c r="F26" s="14">
        <f t="shared" si="0"/>
        <v>0</v>
      </c>
    </row>
    <row r="27" spans="1:6" x14ac:dyDescent="0.25">
      <c r="A27" s="10">
        <v>16</v>
      </c>
      <c r="B27" s="140" t="s">
        <v>58</v>
      </c>
      <c r="C27" s="141" t="s">
        <v>58</v>
      </c>
      <c r="D27" s="105">
        <f>D12</f>
        <v>0</v>
      </c>
      <c r="E27" s="57"/>
      <c r="F27" s="14">
        <f t="shared" si="0"/>
        <v>0</v>
      </c>
    </row>
    <row r="28" spans="1:6" x14ac:dyDescent="0.25">
      <c r="A28" s="10">
        <v>17</v>
      </c>
      <c r="B28" s="140" t="s">
        <v>61</v>
      </c>
      <c r="C28" s="141" t="s">
        <v>61</v>
      </c>
      <c r="D28" s="105">
        <f>D12</f>
        <v>0</v>
      </c>
      <c r="E28" s="57"/>
      <c r="F28" s="14">
        <f t="shared" si="0"/>
        <v>0</v>
      </c>
    </row>
    <row r="29" spans="1:6" x14ac:dyDescent="0.25">
      <c r="A29" s="10">
        <v>18</v>
      </c>
      <c r="B29" s="140" t="s">
        <v>62</v>
      </c>
      <c r="C29" s="141" t="s">
        <v>62</v>
      </c>
      <c r="D29" s="105">
        <f>D12</f>
        <v>0</v>
      </c>
      <c r="E29" s="57"/>
      <c r="F29" s="14">
        <f t="shared" si="0"/>
        <v>0</v>
      </c>
    </row>
    <row r="30" spans="1:6" x14ac:dyDescent="0.25">
      <c r="A30" s="10">
        <v>19</v>
      </c>
      <c r="B30" s="140" t="s">
        <v>63</v>
      </c>
      <c r="C30" s="141" t="s">
        <v>63</v>
      </c>
      <c r="D30" s="106">
        <v>0</v>
      </c>
      <c r="E30" s="60">
        <f>F12</f>
        <v>0</v>
      </c>
      <c r="F30" s="59">
        <f t="shared" si="0"/>
        <v>0</v>
      </c>
    </row>
    <row r="31" spans="1:6" x14ac:dyDescent="0.25">
      <c r="A31" s="10">
        <v>20</v>
      </c>
      <c r="B31" s="140" t="s">
        <v>70</v>
      </c>
      <c r="C31" s="141" t="s">
        <v>70</v>
      </c>
      <c r="D31" s="105">
        <v>0.01</v>
      </c>
      <c r="E31" s="61">
        <v>0</v>
      </c>
      <c r="F31" s="14">
        <f t="shared" si="0"/>
        <v>0</v>
      </c>
    </row>
    <row r="32" spans="1:6" ht="14.4" thickBot="1" x14ac:dyDescent="0.3">
      <c r="A32" s="15"/>
      <c r="D32" s="9"/>
      <c r="E32" s="13"/>
      <c r="F32" s="13"/>
    </row>
    <row r="33" spans="3:6" x14ac:dyDescent="0.25">
      <c r="C33" s="136" t="s">
        <v>89</v>
      </c>
      <c r="D33" s="137"/>
      <c r="E33" s="142">
        <f>SUM(F12:F31)</f>
        <v>0</v>
      </c>
      <c r="F33" s="143"/>
    </row>
    <row r="34" spans="3:6" ht="14.4" thickBot="1" x14ac:dyDescent="0.3">
      <c r="C34" s="138" t="s">
        <v>90</v>
      </c>
      <c r="D34" s="139"/>
      <c r="E34" s="134">
        <f>IF(E33&gt;0,E33/D12,0)</f>
        <v>0</v>
      </c>
      <c r="F34" s="135"/>
    </row>
    <row r="35" spans="3:6" x14ac:dyDescent="0.25">
      <c r="C35" s="7"/>
      <c r="D35" s="8"/>
      <c r="E35" s="6"/>
      <c r="F35" s="12"/>
    </row>
    <row r="36" spans="3:6" x14ac:dyDescent="0.25">
      <c r="C36" s="7"/>
      <c r="D36" s="8"/>
      <c r="E36" s="6"/>
      <c r="F36" s="6"/>
    </row>
    <row r="37" spans="3:6" x14ac:dyDescent="0.25">
      <c r="C37" s="7"/>
      <c r="D37" s="8"/>
      <c r="E37" s="6"/>
      <c r="F37" s="6"/>
    </row>
    <row r="38" spans="3:6" x14ac:dyDescent="0.25">
      <c r="C38" s="7"/>
      <c r="D38" s="8"/>
      <c r="E38" s="6"/>
      <c r="F38" s="6"/>
    </row>
    <row r="39" spans="3:6" x14ac:dyDescent="0.25">
      <c r="C39" s="7"/>
      <c r="D39" s="8"/>
      <c r="E39" s="6"/>
      <c r="F39" s="6"/>
    </row>
    <row r="40" spans="3:6" x14ac:dyDescent="0.25">
      <c r="C40" s="7"/>
      <c r="D40" s="8"/>
      <c r="E40" s="6"/>
      <c r="F40" s="6"/>
    </row>
    <row r="41" spans="3:6" x14ac:dyDescent="0.25">
      <c r="C41" s="7"/>
      <c r="D41" s="8"/>
      <c r="E41" s="6"/>
      <c r="F41" s="6"/>
    </row>
    <row r="42" spans="3:6" x14ac:dyDescent="0.25">
      <c r="C42" s="7"/>
      <c r="D42" s="8"/>
      <c r="E42" s="6"/>
      <c r="F42" s="6"/>
    </row>
    <row r="43" spans="3:6" x14ac:dyDescent="0.25">
      <c r="C43" s="7"/>
      <c r="D43" s="8"/>
      <c r="E43" s="6"/>
      <c r="F43" s="6"/>
    </row>
    <row r="44" spans="3:6" x14ac:dyDescent="0.25">
      <c r="C44" s="7"/>
      <c r="D44" s="8"/>
      <c r="E44" s="6"/>
      <c r="F44" s="6"/>
    </row>
    <row r="45" spans="3:6" x14ac:dyDescent="0.25">
      <c r="C45" s="7"/>
      <c r="D45" s="8"/>
      <c r="E45" s="6"/>
      <c r="F45" s="6"/>
    </row>
    <row r="46" spans="3:6" x14ac:dyDescent="0.25">
      <c r="C46" s="7"/>
      <c r="D46" s="8"/>
      <c r="E46" s="6"/>
      <c r="F46" s="6"/>
    </row>
    <row r="47" spans="3:6" x14ac:dyDescent="0.25">
      <c r="C47" s="7"/>
      <c r="D47" s="8"/>
      <c r="E47" s="6"/>
      <c r="F47" s="6"/>
    </row>
    <row r="48" spans="3:6" x14ac:dyDescent="0.25">
      <c r="C48" s="7"/>
      <c r="D48" s="8"/>
      <c r="E48" s="6"/>
      <c r="F48" s="6"/>
    </row>
    <row r="49" spans="3:6" x14ac:dyDescent="0.25">
      <c r="C49" s="7"/>
      <c r="D49" s="8"/>
      <c r="E49" s="6"/>
      <c r="F49" s="6"/>
    </row>
    <row r="50" spans="3:6" x14ac:dyDescent="0.25">
      <c r="C50" s="7"/>
      <c r="D50" s="8"/>
      <c r="E50" s="6"/>
      <c r="F50" s="6"/>
    </row>
    <row r="51" spans="3:6" x14ac:dyDescent="0.25">
      <c r="C51" s="7"/>
      <c r="D51" s="8"/>
      <c r="E51" s="6"/>
      <c r="F51" s="6"/>
    </row>
    <row r="52" spans="3:6" x14ac:dyDescent="0.25">
      <c r="C52" s="7"/>
      <c r="D52" s="8"/>
      <c r="E52" s="6"/>
      <c r="F52" s="6"/>
    </row>
    <row r="53" spans="3:6" x14ac:dyDescent="0.25">
      <c r="C53" s="7"/>
      <c r="D53" s="8"/>
      <c r="E53" s="6"/>
      <c r="F53" s="6"/>
    </row>
    <row r="54" spans="3:6" x14ac:dyDescent="0.25">
      <c r="C54" s="7"/>
      <c r="D54" s="8"/>
      <c r="E54" s="6"/>
      <c r="F54" s="6"/>
    </row>
    <row r="55" spans="3:6" x14ac:dyDescent="0.25">
      <c r="C55" s="7"/>
      <c r="D55" s="8"/>
      <c r="E55" s="6"/>
      <c r="F55" s="6"/>
    </row>
    <row r="56" spans="3:6" x14ac:dyDescent="0.25">
      <c r="C56" s="7"/>
      <c r="D56" s="8"/>
      <c r="E56" s="6"/>
      <c r="F56" s="6"/>
    </row>
    <row r="57" spans="3:6" x14ac:dyDescent="0.25">
      <c r="C57" s="7"/>
      <c r="D57" s="8"/>
      <c r="E57" s="6"/>
      <c r="F57" s="6"/>
    </row>
    <row r="58" spans="3:6" x14ac:dyDescent="0.25">
      <c r="C58" s="7"/>
      <c r="D58" s="8"/>
      <c r="E58" s="6"/>
      <c r="F58" s="6"/>
    </row>
    <row r="59" spans="3:6" x14ac:dyDescent="0.25">
      <c r="C59" s="7"/>
      <c r="D59" s="8"/>
      <c r="E59" s="6"/>
      <c r="F59" s="6"/>
    </row>
    <row r="60" spans="3:6" x14ac:dyDescent="0.25">
      <c r="C60" s="7"/>
      <c r="D60" s="8"/>
      <c r="E60" s="6"/>
      <c r="F60" s="6"/>
    </row>
    <row r="61" spans="3:6" x14ac:dyDescent="0.25">
      <c r="C61" s="7"/>
      <c r="D61" s="8"/>
      <c r="E61" s="6"/>
      <c r="F61" s="6"/>
    </row>
    <row r="62" spans="3:6" x14ac:dyDescent="0.25">
      <c r="C62" s="7"/>
      <c r="D62" s="8"/>
      <c r="E62" s="6"/>
      <c r="F62" s="6"/>
    </row>
    <row r="63" spans="3:6" x14ac:dyDescent="0.25">
      <c r="C63" s="7"/>
      <c r="D63" s="8"/>
      <c r="E63" s="6"/>
      <c r="F63" s="6"/>
    </row>
    <row r="64" spans="3:6" x14ac:dyDescent="0.25">
      <c r="C64" s="7"/>
      <c r="D64" s="8"/>
      <c r="E64" s="6"/>
      <c r="F64" s="6"/>
    </row>
    <row r="65" spans="3:6" x14ac:dyDescent="0.25">
      <c r="C65" s="7"/>
      <c r="D65" s="8"/>
      <c r="E65" s="6"/>
      <c r="F65" s="6"/>
    </row>
    <row r="66" spans="3:6" x14ac:dyDescent="0.25">
      <c r="C66" s="7"/>
      <c r="D66" s="6"/>
      <c r="E66" s="6"/>
      <c r="F66" s="6"/>
    </row>
    <row r="67" spans="3:6" x14ac:dyDescent="0.25">
      <c r="C67" s="7"/>
      <c r="D67" s="6"/>
      <c r="E67" s="6"/>
      <c r="F67" s="6"/>
    </row>
    <row r="68" spans="3:6" x14ac:dyDescent="0.25">
      <c r="C68" s="7"/>
      <c r="D68" s="6"/>
      <c r="E68" s="6"/>
      <c r="F68" s="6"/>
    </row>
    <row r="69" spans="3:6" x14ac:dyDescent="0.25">
      <c r="C69" s="7"/>
      <c r="D69" s="6"/>
      <c r="E69" s="6"/>
      <c r="F69" s="6"/>
    </row>
    <row r="70" spans="3:6" x14ac:dyDescent="0.25">
      <c r="C70" s="7"/>
      <c r="D70" s="6"/>
      <c r="E70" s="6"/>
      <c r="F70" s="6"/>
    </row>
    <row r="71" spans="3:6" x14ac:dyDescent="0.25">
      <c r="C71" s="7"/>
      <c r="D71" s="6"/>
      <c r="E71" s="6"/>
      <c r="F71" s="6"/>
    </row>
    <row r="72" spans="3:6" x14ac:dyDescent="0.25">
      <c r="C72" s="7"/>
      <c r="D72" s="6"/>
      <c r="E72" s="6"/>
      <c r="F72" s="6"/>
    </row>
    <row r="73" spans="3:6" x14ac:dyDescent="0.25">
      <c r="C73" s="7"/>
      <c r="D73" s="6"/>
      <c r="E73" s="6"/>
      <c r="F73" s="6"/>
    </row>
    <row r="74" spans="3:6" x14ac:dyDescent="0.25">
      <c r="C74" s="7"/>
      <c r="D74" s="6"/>
      <c r="E74" s="6"/>
      <c r="F74" s="6"/>
    </row>
    <row r="75" spans="3:6" x14ac:dyDescent="0.25">
      <c r="C75" s="7"/>
      <c r="D75" s="6"/>
      <c r="E75" s="6"/>
      <c r="F75" s="6"/>
    </row>
    <row r="76" spans="3:6" x14ac:dyDescent="0.25">
      <c r="C76" s="7"/>
      <c r="D76" s="6"/>
      <c r="E76" s="6"/>
      <c r="F76" s="6"/>
    </row>
    <row r="77" spans="3:6" x14ac:dyDescent="0.25">
      <c r="C77" s="7"/>
      <c r="D77" s="6"/>
      <c r="E77" s="6"/>
      <c r="F77" s="6"/>
    </row>
    <row r="78" spans="3:6" x14ac:dyDescent="0.25">
      <c r="C78" s="7"/>
      <c r="D78" s="6"/>
      <c r="E78" s="6"/>
      <c r="F78" s="6"/>
    </row>
    <row r="79" spans="3:6" x14ac:dyDescent="0.25">
      <c r="C79" s="7"/>
      <c r="D79" s="6"/>
      <c r="E79" s="6"/>
      <c r="F79" s="6"/>
    </row>
    <row r="80" spans="3:6" x14ac:dyDescent="0.25">
      <c r="C80" s="7"/>
      <c r="D80" s="6"/>
      <c r="E80" s="6"/>
      <c r="F80" s="6"/>
    </row>
    <row r="81" spans="3:6" x14ac:dyDescent="0.25">
      <c r="C81" s="7"/>
      <c r="D81" s="6"/>
      <c r="E81" s="6"/>
      <c r="F81" s="6"/>
    </row>
    <row r="82" spans="3:6" x14ac:dyDescent="0.25">
      <c r="C82" s="7"/>
      <c r="D82" s="6"/>
      <c r="E82" s="6"/>
      <c r="F82" s="6"/>
    </row>
    <row r="83" spans="3:6" x14ac:dyDescent="0.25">
      <c r="C83" s="7"/>
      <c r="D83" s="6"/>
      <c r="E83" s="6"/>
      <c r="F83" s="6"/>
    </row>
    <row r="84" spans="3:6" x14ac:dyDescent="0.25">
      <c r="C84" s="7"/>
      <c r="D84" s="6"/>
      <c r="E84" s="6"/>
      <c r="F84" s="6"/>
    </row>
    <row r="85" spans="3:6" x14ac:dyDescent="0.25">
      <c r="C85" s="7"/>
      <c r="D85" s="6"/>
      <c r="E85" s="6"/>
      <c r="F85" s="6"/>
    </row>
    <row r="86" spans="3:6" x14ac:dyDescent="0.25">
      <c r="C86" s="7"/>
      <c r="D86" s="6"/>
      <c r="E86" s="6"/>
      <c r="F86" s="6"/>
    </row>
    <row r="87" spans="3:6" x14ac:dyDescent="0.25">
      <c r="C87" s="7"/>
      <c r="D87" s="6"/>
      <c r="E87" s="6"/>
      <c r="F87" s="6"/>
    </row>
    <row r="88" spans="3:6" x14ac:dyDescent="0.25">
      <c r="C88" s="7"/>
      <c r="D88" s="6"/>
      <c r="E88" s="6"/>
      <c r="F88" s="6"/>
    </row>
    <row r="89" spans="3:6" x14ac:dyDescent="0.25">
      <c r="C89" s="7"/>
      <c r="D89" s="6"/>
      <c r="E89" s="6"/>
      <c r="F89" s="6"/>
    </row>
    <row r="90" spans="3:6" x14ac:dyDescent="0.25">
      <c r="C90" s="7"/>
      <c r="D90" s="6"/>
      <c r="E90" s="6"/>
      <c r="F90" s="6"/>
    </row>
    <row r="91" spans="3:6" x14ac:dyDescent="0.25">
      <c r="C91" s="7"/>
      <c r="D91" s="6"/>
      <c r="E91" s="6"/>
      <c r="F91" s="6"/>
    </row>
    <row r="92" spans="3:6" x14ac:dyDescent="0.25">
      <c r="C92" s="7"/>
      <c r="D92" s="6"/>
      <c r="E92" s="6"/>
      <c r="F92" s="6"/>
    </row>
    <row r="93" spans="3:6" x14ac:dyDescent="0.25">
      <c r="C93" s="7"/>
      <c r="D93" s="6"/>
      <c r="E93" s="6"/>
      <c r="F93" s="6"/>
    </row>
    <row r="94" spans="3:6" x14ac:dyDescent="0.25">
      <c r="C94" s="7"/>
      <c r="D94" s="6"/>
      <c r="E94" s="6"/>
      <c r="F94" s="6"/>
    </row>
    <row r="95" spans="3:6" x14ac:dyDescent="0.25">
      <c r="C95" s="7"/>
      <c r="D95" s="7"/>
      <c r="E95" s="7"/>
      <c r="F95" s="7"/>
    </row>
    <row r="96" spans="3:6" x14ac:dyDescent="0.25">
      <c r="C96" s="7"/>
      <c r="D96" s="7"/>
      <c r="E96" s="7"/>
      <c r="F96" s="7"/>
    </row>
    <row r="97" spans="3:6" x14ac:dyDescent="0.25">
      <c r="C97" s="7"/>
      <c r="D97" s="7"/>
      <c r="E97" s="7"/>
      <c r="F97" s="7"/>
    </row>
    <row r="98" spans="3:6" x14ac:dyDescent="0.25">
      <c r="C98" s="7"/>
      <c r="D98" s="7"/>
      <c r="E98" s="7"/>
      <c r="F98" s="7"/>
    </row>
    <row r="99" spans="3:6" x14ac:dyDescent="0.25">
      <c r="C99" s="7"/>
      <c r="D99" s="7"/>
      <c r="E99" s="7"/>
      <c r="F99" s="7"/>
    </row>
    <row r="100" spans="3:6" x14ac:dyDescent="0.25">
      <c r="C100" s="7"/>
      <c r="D100" s="7"/>
      <c r="E100" s="7"/>
      <c r="F100" s="7"/>
    </row>
    <row r="101" spans="3:6" x14ac:dyDescent="0.25">
      <c r="C101" s="7"/>
      <c r="D101" s="7"/>
      <c r="E101" s="7"/>
      <c r="F101" s="7"/>
    </row>
    <row r="102" spans="3:6" x14ac:dyDescent="0.25">
      <c r="C102" s="7"/>
      <c r="D102" s="7"/>
      <c r="E102" s="7"/>
      <c r="F102" s="7"/>
    </row>
    <row r="103" spans="3:6" x14ac:dyDescent="0.25">
      <c r="C103" s="7"/>
      <c r="D103" s="7"/>
      <c r="E103" s="7"/>
      <c r="F103" s="7"/>
    </row>
    <row r="104" spans="3:6" x14ac:dyDescent="0.25">
      <c r="C104" s="7"/>
      <c r="D104" s="7"/>
      <c r="E104" s="7"/>
      <c r="F104" s="7"/>
    </row>
    <row r="105" spans="3:6" x14ac:dyDescent="0.25">
      <c r="C105" s="7"/>
      <c r="D105" s="7"/>
      <c r="E105" s="7"/>
      <c r="F105" s="7"/>
    </row>
    <row r="106" spans="3:6" x14ac:dyDescent="0.25">
      <c r="C106" s="7"/>
      <c r="D106" s="7"/>
      <c r="E106" s="7"/>
      <c r="F106" s="7"/>
    </row>
    <row r="107" spans="3:6" x14ac:dyDescent="0.25">
      <c r="C107" s="7"/>
      <c r="D107" s="7"/>
      <c r="E107" s="7"/>
      <c r="F107" s="7"/>
    </row>
    <row r="108" spans="3:6" x14ac:dyDescent="0.25">
      <c r="C108" s="7"/>
      <c r="D108" s="7"/>
      <c r="E108" s="7"/>
      <c r="F108" s="7"/>
    </row>
    <row r="109" spans="3:6" x14ac:dyDescent="0.25">
      <c r="C109" s="7"/>
      <c r="D109" s="7"/>
      <c r="E109" s="7"/>
      <c r="F109" s="7"/>
    </row>
    <row r="110" spans="3:6" x14ac:dyDescent="0.25">
      <c r="C110" s="7"/>
      <c r="D110" s="7"/>
      <c r="E110" s="7"/>
      <c r="F110" s="7"/>
    </row>
    <row r="111" spans="3:6" x14ac:dyDescent="0.25">
      <c r="C111" s="7"/>
      <c r="D111" s="7"/>
      <c r="E111" s="7"/>
      <c r="F111" s="7"/>
    </row>
    <row r="112" spans="3:6" x14ac:dyDescent="0.25">
      <c r="C112" s="7"/>
      <c r="D112" s="7"/>
      <c r="E112" s="7"/>
      <c r="F112" s="7"/>
    </row>
    <row r="113" spans="3:6" x14ac:dyDescent="0.25">
      <c r="C113" s="7"/>
      <c r="D113" s="7"/>
      <c r="E113" s="7"/>
      <c r="F113" s="7"/>
    </row>
    <row r="114" spans="3:6" x14ac:dyDescent="0.25">
      <c r="C114" s="7"/>
      <c r="D114" s="7"/>
      <c r="E114" s="7"/>
      <c r="F114" s="7"/>
    </row>
    <row r="115" spans="3:6" x14ac:dyDescent="0.25">
      <c r="C115" s="7"/>
      <c r="D115" s="7"/>
      <c r="E115" s="7"/>
      <c r="F115" s="7"/>
    </row>
    <row r="116" spans="3:6" x14ac:dyDescent="0.25">
      <c r="C116" s="7"/>
      <c r="D116" s="7"/>
      <c r="E116" s="7"/>
      <c r="F116" s="7"/>
    </row>
    <row r="117" spans="3:6" x14ac:dyDescent="0.25">
      <c r="C117" s="7"/>
      <c r="D117" s="7"/>
      <c r="E117" s="7"/>
      <c r="F117" s="7"/>
    </row>
    <row r="118" spans="3:6" x14ac:dyDescent="0.25">
      <c r="C118" s="7"/>
      <c r="D118" s="7"/>
      <c r="E118" s="7"/>
      <c r="F118" s="7"/>
    </row>
    <row r="119" spans="3:6" x14ac:dyDescent="0.25">
      <c r="C119" s="7"/>
      <c r="D119" s="7"/>
      <c r="E119" s="7"/>
      <c r="F119" s="7"/>
    </row>
    <row r="120" spans="3:6" x14ac:dyDescent="0.25">
      <c r="C120" s="7"/>
      <c r="D120" s="7"/>
      <c r="E120" s="7"/>
      <c r="F120" s="7"/>
    </row>
    <row r="121" spans="3:6" x14ac:dyDescent="0.25">
      <c r="C121" s="7"/>
      <c r="D121" s="7"/>
      <c r="E121" s="7"/>
      <c r="F121" s="7"/>
    </row>
    <row r="122" spans="3:6" x14ac:dyDescent="0.25">
      <c r="C122" s="7"/>
      <c r="D122" s="7"/>
      <c r="E122" s="7"/>
      <c r="F122" s="7"/>
    </row>
    <row r="123" spans="3:6" x14ac:dyDescent="0.25">
      <c r="C123" s="7"/>
      <c r="D123" s="7"/>
      <c r="E123" s="7"/>
      <c r="F123" s="7"/>
    </row>
    <row r="124" spans="3:6" x14ac:dyDescent="0.25">
      <c r="C124" s="7"/>
      <c r="D124" s="7"/>
      <c r="E124" s="7"/>
      <c r="F124" s="7"/>
    </row>
    <row r="125" spans="3:6" x14ac:dyDescent="0.25">
      <c r="C125" s="7"/>
      <c r="D125" s="7"/>
      <c r="E125" s="7"/>
      <c r="F125" s="7"/>
    </row>
    <row r="126" spans="3:6" x14ac:dyDescent="0.25">
      <c r="C126" s="7"/>
      <c r="D126" s="7"/>
      <c r="E126" s="7"/>
      <c r="F126" s="7"/>
    </row>
    <row r="127" spans="3:6" x14ac:dyDescent="0.25">
      <c r="C127" s="7"/>
      <c r="D127" s="7"/>
      <c r="E127" s="7"/>
      <c r="F127" s="7"/>
    </row>
    <row r="128" spans="3:6" x14ac:dyDescent="0.25">
      <c r="C128" s="7"/>
      <c r="D128" s="7"/>
      <c r="E128" s="7"/>
      <c r="F128" s="7"/>
    </row>
    <row r="129" spans="3:6" x14ac:dyDescent="0.25">
      <c r="C129" s="7"/>
      <c r="D129" s="7"/>
      <c r="E129" s="7"/>
      <c r="F129" s="7"/>
    </row>
    <row r="130" spans="3:6" x14ac:dyDescent="0.25">
      <c r="C130" s="7"/>
      <c r="D130" s="7"/>
      <c r="E130" s="7"/>
      <c r="F130" s="7"/>
    </row>
    <row r="131" spans="3:6" x14ac:dyDescent="0.25">
      <c r="C131" s="7"/>
      <c r="D131" s="7"/>
      <c r="E131" s="7"/>
      <c r="F131" s="7"/>
    </row>
    <row r="132" spans="3:6" x14ac:dyDescent="0.25">
      <c r="C132" s="7"/>
      <c r="D132" s="7"/>
      <c r="E132" s="7"/>
      <c r="F132" s="7"/>
    </row>
    <row r="133" spans="3:6" x14ac:dyDescent="0.25">
      <c r="C133" s="7"/>
      <c r="D133" s="7"/>
      <c r="E133" s="7"/>
      <c r="F133" s="7"/>
    </row>
    <row r="134" spans="3:6" x14ac:dyDescent="0.25">
      <c r="C134" s="7"/>
      <c r="D134" s="7"/>
      <c r="E134" s="7"/>
      <c r="F134" s="7"/>
    </row>
    <row r="135" spans="3:6" x14ac:dyDescent="0.25">
      <c r="C135" s="7"/>
      <c r="D135" s="7"/>
      <c r="E135" s="7"/>
      <c r="F135" s="7"/>
    </row>
    <row r="136" spans="3:6" x14ac:dyDescent="0.25">
      <c r="C136" s="7"/>
      <c r="D136" s="7"/>
      <c r="E136" s="7"/>
      <c r="F136" s="7"/>
    </row>
    <row r="137" spans="3:6" x14ac:dyDescent="0.25">
      <c r="C137" s="7"/>
      <c r="D137" s="7"/>
      <c r="E137" s="7"/>
      <c r="F137" s="7"/>
    </row>
    <row r="138" spans="3:6" x14ac:dyDescent="0.25">
      <c r="C138" s="7"/>
      <c r="D138" s="7"/>
      <c r="E138" s="7"/>
      <c r="F138" s="7"/>
    </row>
    <row r="139" spans="3:6" x14ac:dyDescent="0.25">
      <c r="C139" s="7"/>
      <c r="D139" s="7"/>
      <c r="E139" s="7"/>
      <c r="F139" s="7"/>
    </row>
    <row r="140" spans="3:6" x14ac:dyDescent="0.25">
      <c r="C140" s="7"/>
      <c r="D140" s="7"/>
      <c r="E140" s="7"/>
      <c r="F140" s="7"/>
    </row>
    <row r="141" spans="3:6" x14ac:dyDescent="0.25">
      <c r="C141" s="7"/>
      <c r="D141" s="7"/>
      <c r="E141" s="7"/>
      <c r="F141" s="7"/>
    </row>
    <row r="142" spans="3:6" x14ac:dyDescent="0.25">
      <c r="C142" s="7"/>
      <c r="D142" s="7"/>
      <c r="E142" s="7"/>
      <c r="F142" s="7"/>
    </row>
    <row r="143" spans="3:6" x14ac:dyDescent="0.25">
      <c r="C143" s="7"/>
      <c r="D143" s="7"/>
      <c r="E143" s="7"/>
      <c r="F143" s="7"/>
    </row>
    <row r="144" spans="3:6" x14ac:dyDescent="0.25">
      <c r="C144" s="7"/>
      <c r="D144" s="7"/>
      <c r="E144" s="7"/>
      <c r="F144" s="7"/>
    </row>
    <row r="145" spans="3:6" x14ac:dyDescent="0.25">
      <c r="C145" s="7"/>
      <c r="D145" s="7"/>
      <c r="E145" s="7"/>
      <c r="F145" s="7"/>
    </row>
    <row r="146" spans="3:6" x14ac:dyDescent="0.25">
      <c r="C146" s="7"/>
      <c r="D146" s="7"/>
      <c r="E146" s="7"/>
      <c r="F146" s="7"/>
    </row>
    <row r="147" spans="3:6" x14ac:dyDescent="0.25">
      <c r="C147" s="7"/>
      <c r="D147" s="7"/>
      <c r="E147" s="7"/>
      <c r="F147" s="7"/>
    </row>
    <row r="148" spans="3:6" x14ac:dyDescent="0.25">
      <c r="C148" s="7"/>
      <c r="D148" s="7"/>
      <c r="E148" s="7"/>
      <c r="F148" s="7"/>
    </row>
    <row r="149" spans="3:6" x14ac:dyDescent="0.25">
      <c r="C149" s="7"/>
      <c r="D149" s="7"/>
      <c r="E149" s="7"/>
      <c r="F149" s="7"/>
    </row>
    <row r="150" spans="3:6" x14ac:dyDescent="0.25">
      <c r="C150" s="7"/>
      <c r="D150" s="7"/>
      <c r="E150" s="7"/>
      <c r="F150" s="7"/>
    </row>
    <row r="151" spans="3:6" x14ac:dyDescent="0.25">
      <c r="C151" s="7"/>
      <c r="D151" s="7"/>
      <c r="E151" s="7"/>
      <c r="F151" s="7"/>
    </row>
    <row r="152" spans="3:6" x14ac:dyDescent="0.25">
      <c r="C152" s="7"/>
      <c r="D152" s="7"/>
      <c r="E152" s="7"/>
      <c r="F152" s="7"/>
    </row>
    <row r="153" spans="3:6" x14ac:dyDescent="0.25">
      <c r="C153" s="7"/>
      <c r="D153" s="7"/>
      <c r="E153" s="7"/>
      <c r="F153" s="7"/>
    </row>
    <row r="154" spans="3:6" x14ac:dyDescent="0.25">
      <c r="C154" s="7"/>
      <c r="D154" s="7"/>
      <c r="E154" s="7"/>
      <c r="F154" s="7"/>
    </row>
    <row r="155" spans="3:6" x14ac:dyDescent="0.25">
      <c r="C155" s="7"/>
      <c r="D155" s="7"/>
      <c r="E155" s="7"/>
      <c r="F155" s="7"/>
    </row>
    <row r="156" spans="3:6" x14ac:dyDescent="0.25">
      <c r="C156" s="7"/>
      <c r="D156" s="7"/>
      <c r="E156" s="7"/>
      <c r="F156" s="7"/>
    </row>
    <row r="157" spans="3:6" x14ac:dyDescent="0.25">
      <c r="C157" s="7"/>
      <c r="D157" s="7"/>
      <c r="E157" s="7"/>
      <c r="F157" s="7"/>
    </row>
    <row r="158" spans="3:6" x14ac:dyDescent="0.25">
      <c r="C158" s="7"/>
      <c r="D158" s="7"/>
      <c r="E158" s="7"/>
      <c r="F158" s="7"/>
    </row>
    <row r="159" spans="3:6" x14ac:dyDescent="0.25">
      <c r="C159" s="7"/>
      <c r="D159" s="7"/>
      <c r="E159" s="7"/>
      <c r="F159" s="7"/>
    </row>
    <row r="160" spans="3:6" x14ac:dyDescent="0.25">
      <c r="C160" s="7"/>
      <c r="D160" s="7"/>
      <c r="E160" s="7"/>
      <c r="F160" s="7"/>
    </row>
    <row r="161" spans="3:6" x14ac:dyDescent="0.25">
      <c r="C161" s="7"/>
      <c r="D161" s="7"/>
      <c r="E161" s="7"/>
      <c r="F161" s="7"/>
    </row>
    <row r="162" spans="3:6" x14ac:dyDescent="0.25">
      <c r="C162" s="7"/>
      <c r="D162" s="7"/>
      <c r="E162" s="7"/>
      <c r="F162" s="7"/>
    </row>
    <row r="163" spans="3:6" x14ac:dyDescent="0.25">
      <c r="C163" s="7"/>
      <c r="D163" s="7"/>
      <c r="E163" s="7"/>
      <c r="F163" s="7"/>
    </row>
    <row r="164" spans="3:6" x14ac:dyDescent="0.25">
      <c r="C164" s="7"/>
      <c r="D164" s="7"/>
      <c r="E164" s="7"/>
      <c r="F164" s="7"/>
    </row>
    <row r="165" spans="3:6" x14ac:dyDescent="0.25">
      <c r="C165" s="7"/>
      <c r="D165" s="7"/>
      <c r="E165" s="7"/>
      <c r="F165" s="7"/>
    </row>
    <row r="166" spans="3:6" x14ac:dyDescent="0.25">
      <c r="C166" s="7"/>
      <c r="D166" s="7"/>
      <c r="E166" s="7"/>
      <c r="F166" s="7"/>
    </row>
    <row r="167" spans="3:6" x14ac:dyDescent="0.25">
      <c r="C167" s="7"/>
      <c r="D167" s="7"/>
      <c r="E167" s="7"/>
      <c r="F167" s="7"/>
    </row>
    <row r="168" spans="3:6" x14ac:dyDescent="0.25">
      <c r="C168" s="7"/>
      <c r="D168" s="7"/>
      <c r="E168" s="7"/>
      <c r="F168" s="7"/>
    </row>
    <row r="169" spans="3:6" x14ac:dyDescent="0.25">
      <c r="C169" s="7"/>
      <c r="D169" s="7"/>
      <c r="E169" s="7"/>
      <c r="F169" s="7"/>
    </row>
    <row r="170" spans="3:6" x14ac:dyDescent="0.25">
      <c r="C170" s="7"/>
      <c r="D170" s="7"/>
      <c r="E170" s="7"/>
      <c r="F170" s="7"/>
    </row>
    <row r="171" spans="3:6" x14ac:dyDescent="0.25">
      <c r="C171" s="7"/>
      <c r="D171" s="7"/>
      <c r="E171" s="7"/>
      <c r="F171" s="7"/>
    </row>
    <row r="172" spans="3:6" x14ac:dyDescent="0.25">
      <c r="C172" s="7"/>
      <c r="D172" s="7"/>
      <c r="E172" s="7"/>
      <c r="F172" s="7"/>
    </row>
    <row r="173" spans="3:6" x14ac:dyDescent="0.25">
      <c r="C173" s="7"/>
      <c r="D173" s="7"/>
      <c r="E173" s="7"/>
      <c r="F173" s="7"/>
    </row>
    <row r="174" spans="3:6" x14ac:dyDescent="0.25">
      <c r="C174" s="7"/>
      <c r="D174" s="7"/>
      <c r="E174" s="7"/>
      <c r="F174" s="7"/>
    </row>
    <row r="175" spans="3:6" x14ac:dyDescent="0.25">
      <c r="C175" s="7"/>
      <c r="D175" s="7"/>
      <c r="E175" s="7"/>
      <c r="F175" s="7"/>
    </row>
    <row r="176" spans="3:6" x14ac:dyDescent="0.25">
      <c r="C176" s="7"/>
      <c r="D176" s="7"/>
      <c r="E176" s="7"/>
      <c r="F176" s="7"/>
    </row>
    <row r="177" spans="3:6" x14ac:dyDescent="0.25">
      <c r="C177" s="7"/>
      <c r="D177" s="7"/>
      <c r="E177" s="7"/>
      <c r="F177" s="7"/>
    </row>
    <row r="178" spans="3:6" x14ac:dyDescent="0.25">
      <c r="C178" s="7"/>
      <c r="D178" s="7"/>
      <c r="E178" s="7"/>
      <c r="F178" s="7"/>
    </row>
    <row r="179" spans="3:6" x14ac:dyDescent="0.25">
      <c r="C179" s="7"/>
      <c r="D179" s="7"/>
      <c r="E179" s="7"/>
      <c r="F179" s="7"/>
    </row>
    <row r="180" spans="3:6" x14ac:dyDescent="0.25">
      <c r="C180" s="7"/>
      <c r="D180" s="7"/>
      <c r="E180" s="7"/>
      <c r="F180" s="7"/>
    </row>
    <row r="181" spans="3:6" x14ac:dyDescent="0.25">
      <c r="C181" s="7"/>
      <c r="D181" s="7"/>
      <c r="E181" s="7"/>
      <c r="F181" s="7"/>
    </row>
    <row r="182" spans="3:6" x14ac:dyDescent="0.25">
      <c r="C182" s="7"/>
      <c r="D182" s="7"/>
      <c r="E182" s="7"/>
      <c r="F182" s="7"/>
    </row>
    <row r="183" spans="3:6" x14ac:dyDescent="0.25">
      <c r="C183" s="7"/>
      <c r="D183" s="7"/>
      <c r="E183" s="7"/>
      <c r="F183" s="7"/>
    </row>
    <row r="184" spans="3:6" x14ac:dyDescent="0.25">
      <c r="C184" s="7"/>
      <c r="D184" s="7"/>
      <c r="E184" s="7"/>
      <c r="F184" s="7"/>
    </row>
    <row r="185" spans="3:6" x14ac:dyDescent="0.25">
      <c r="C185" s="7"/>
      <c r="D185" s="7"/>
      <c r="E185" s="7"/>
      <c r="F185" s="7"/>
    </row>
    <row r="186" spans="3:6" x14ac:dyDescent="0.25">
      <c r="C186" s="7"/>
      <c r="D186" s="7"/>
      <c r="E186" s="7"/>
      <c r="F186" s="7"/>
    </row>
    <row r="187" spans="3:6" x14ac:dyDescent="0.25">
      <c r="C187" s="7"/>
      <c r="D187" s="7"/>
      <c r="E187" s="7"/>
      <c r="F187" s="7"/>
    </row>
    <row r="188" spans="3:6" x14ac:dyDescent="0.25">
      <c r="C188" s="7"/>
      <c r="D188" s="7"/>
      <c r="E188" s="7"/>
      <c r="F188" s="7"/>
    </row>
    <row r="189" spans="3:6" x14ac:dyDescent="0.25">
      <c r="C189" s="7"/>
      <c r="D189" s="7"/>
      <c r="E189" s="7"/>
      <c r="F189" s="7"/>
    </row>
    <row r="190" spans="3:6" x14ac:dyDescent="0.25">
      <c r="C190" s="7"/>
      <c r="D190" s="7"/>
      <c r="E190" s="7"/>
      <c r="F190" s="7"/>
    </row>
    <row r="191" spans="3:6" x14ac:dyDescent="0.25">
      <c r="C191" s="7"/>
      <c r="D191" s="7"/>
      <c r="E191" s="7"/>
      <c r="F191" s="7"/>
    </row>
    <row r="192" spans="3:6" x14ac:dyDescent="0.25">
      <c r="C192" s="7"/>
      <c r="D192" s="7"/>
      <c r="E192" s="7"/>
      <c r="F192" s="7"/>
    </row>
    <row r="193" spans="3:6" x14ac:dyDescent="0.25">
      <c r="C193" s="7"/>
      <c r="D193" s="7"/>
      <c r="E193" s="7"/>
      <c r="F193" s="7"/>
    </row>
    <row r="194" spans="3:6" x14ac:dyDescent="0.25">
      <c r="C194" s="7"/>
      <c r="D194" s="7"/>
      <c r="E194" s="7"/>
      <c r="F194" s="7"/>
    </row>
    <row r="195" spans="3:6" x14ac:dyDescent="0.25">
      <c r="C195" s="7"/>
      <c r="D195" s="7"/>
      <c r="E195" s="7"/>
      <c r="F195" s="7"/>
    </row>
    <row r="196" spans="3:6" x14ac:dyDescent="0.25">
      <c r="C196" s="7"/>
      <c r="D196" s="7"/>
      <c r="E196" s="7"/>
      <c r="F196" s="7"/>
    </row>
    <row r="197" spans="3:6" x14ac:dyDescent="0.25">
      <c r="C197" s="7"/>
      <c r="D197" s="7"/>
      <c r="E197" s="7"/>
      <c r="F197" s="7"/>
    </row>
    <row r="198" spans="3:6" x14ac:dyDescent="0.25">
      <c r="C198" s="7"/>
      <c r="D198" s="7"/>
      <c r="E198" s="7"/>
      <c r="F198" s="7"/>
    </row>
    <row r="199" spans="3:6" x14ac:dyDescent="0.25">
      <c r="C199" s="7"/>
      <c r="D199" s="7"/>
      <c r="E199" s="7"/>
      <c r="F199" s="7"/>
    </row>
    <row r="200" spans="3:6" x14ac:dyDescent="0.25">
      <c r="C200" s="7"/>
      <c r="D200" s="7"/>
      <c r="E200" s="7"/>
      <c r="F200" s="7"/>
    </row>
    <row r="201" spans="3:6" x14ac:dyDescent="0.25">
      <c r="C201" s="7"/>
      <c r="D201" s="7"/>
      <c r="E201" s="7"/>
      <c r="F201" s="7"/>
    </row>
    <row r="202" spans="3:6" x14ac:dyDescent="0.25">
      <c r="C202" s="7"/>
      <c r="D202" s="7"/>
      <c r="E202" s="7"/>
      <c r="F202" s="7"/>
    </row>
    <row r="203" spans="3:6" x14ac:dyDescent="0.25">
      <c r="C203" s="7"/>
      <c r="D203" s="7"/>
      <c r="E203" s="7"/>
      <c r="F203" s="7"/>
    </row>
    <row r="204" spans="3:6" x14ac:dyDescent="0.25">
      <c r="C204" s="7"/>
      <c r="D204" s="7"/>
      <c r="E204" s="7"/>
      <c r="F204" s="7"/>
    </row>
    <row r="205" spans="3:6" x14ac:dyDescent="0.25">
      <c r="C205" s="7"/>
      <c r="D205" s="7"/>
      <c r="E205" s="7"/>
      <c r="F205" s="7"/>
    </row>
    <row r="206" spans="3:6" x14ac:dyDescent="0.25">
      <c r="C206" s="7"/>
      <c r="D206" s="7"/>
      <c r="E206" s="7"/>
      <c r="F206" s="7"/>
    </row>
    <row r="207" spans="3:6" x14ac:dyDescent="0.25">
      <c r="C207" s="7"/>
      <c r="D207" s="7"/>
      <c r="E207" s="7"/>
      <c r="F207" s="7"/>
    </row>
    <row r="208" spans="3:6" x14ac:dyDescent="0.25">
      <c r="C208" s="7"/>
      <c r="D208" s="7"/>
      <c r="E208" s="7"/>
      <c r="F208" s="7"/>
    </row>
    <row r="209" spans="3:6" x14ac:dyDescent="0.25">
      <c r="C209" s="7"/>
      <c r="D209" s="7"/>
      <c r="E209" s="7"/>
      <c r="F209" s="7"/>
    </row>
    <row r="210" spans="3:6" x14ac:dyDescent="0.25">
      <c r="C210" s="7"/>
      <c r="D210" s="7"/>
      <c r="E210" s="7"/>
      <c r="F210" s="7"/>
    </row>
    <row r="211" spans="3:6" x14ac:dyDescent="0.25">
      <c r="C211" s="7"/>
      <c r="D211" s="7"/>
      <c r="E211" s="7"/>
      <c r="F211" s="7"/>
    </row>
    <row r="212" spans="3:6" x14ac:dyDescent="0.25">
      <c r="C212" s="7"/>
      <c r="D212" s="7"/>
      <c r="E212" s="7"/>
      <c r="F212" s="7"/>
    </row>
    <row r="213" spans="3:6" x14ac:dyDescent="0.25">
      <c r="C213" s="7"/>
      <c r="D213" s="7"/>
      <c r="E213" s="7"/>
      <c r="F213" s="7"/>
    </row>
    <row r="214" spans="3:6" x14ac:dyDescent="0.25">
      <c r="C214" s="7"/>
      <c r="D214" s="7"/>
      <c r="E214" s="7"/>
      <c r="F214" s="7"/>
    </row>
    <row r="215" spans="3:6" x14ac:dyDescent="0.25">
      <c r="C215" s="7"/>
      <c r="D215" s="7"/>
      <c r="E215" s="7"/>
      <c r="F215" s="7"/>
    </row>
    <row r="216" spans="3:6" x14ac:dyDescent="0.25">
      <c r="C216" s="7"/>
      <c r="D216" s="7"/>
      <c r="E216" s="7"/>
      <c r="F216" s="7"/>
    </row>
    <row r="217" spans="3:6" x14ac:dyDescent="0.25">
      <c r="C217" s="7"/>
      <c r="D217" s="7"/>
      <c r="E217" s="7"/>
      <c r="F217" s="7"/>
    </row>
    <row r="218" spans="3:6" x14ac:dyDescent="0.25">
      <c r="C218" s="7"/>
      <c r="D218" s="7"/>
      <c r="E218" s="7"/>
      <c r="F218" s="7"/>
    </row>
    <row r="219" spans="3:6" x14ac:dyDescent="0.25">
      <c r="C219" s="7"/>
      <c r="D219" s="7"/>
      <c r="E219" s="7"/>
      <c r="F219" s="7"/>
    </row>
    <row r="220" spans="3:6" x14ac:dyDescent="0.25">
      <c r="C220" s="7"/>
      <c r="D220" s="7"/>
      <c r="E220" s="7"/>
      <c r="F220" s="7"/>
    </row>
    <row r="221" spans="3:6" x14ac:dyDescent="0.25">
      <c r="C221" s="7"/>
      <c r="D221" s="7"/>
      <c r="E221" s="7"/>
      <c r="F221" s="7"/>
    </row>
    <row r="222" spans="3:6" x14ac:dyDescent="0.25">
      <c r="C222" s="7"/>
      <c r="D222" s="7"/>
      <c r="E222" s="7"/>
      <c r="F222" s="7"/>
    </row>
    <row r="223" spans="3:6" x14ac:dyDescent="0.25">
      <c r="C223" s="7"/>
      <c r="D223" s="7"/>
      <c r="E223" s="7"/>
      <c r="F223" s="7"/>
    </row>
    <row r="224" spans="3:6" x14ac:dyDescent="0.25">
      <c r="C224" s="7"/>
      <c r="D224" s="7"/>
      <c r="E224" s="7"/>
      <c r="F224" s="7"/>
    </row>
    <row r="225" spans="3:6" x14ac:dyDescent="0.25">
      <c r="C225" s="7"/>
      <c r="D225" s="7"/>
      <c r="E225" s="7"/>
      <c r="F225" s="7"/>
    </row>
    <row r="226" spans="3:6" x14ac:dyDescent="0.25">
      <c r="C226" s="7"/>
      <c r="D226" s="7"/>
      <c r="E226" s="7"/>
      <c r="F226" s="7"/>
    </row>
    <row r="227" spans="3:6" x14ac:dyDescent="0.25">
      <c r="C227" s="7"/>
      <c r="D227" s="7"/>
      <c r="E227" s="7"/>
      <c r="F227" s="7"/>
    </row>
    <row r="228" spans="3:6" x14ac:dyDescent="0.25">
      <c r="C228" s="7"/>
      <c r="D228" s="7"/>
      <c r="E228" s="7"/>
      <c r="F228" s="7"/>
    </row>
    <row r="229" spans="3:6" x14ac:dyDescent="0.25">
      <c r="C229" s="7"/>
      <c r="D229" s="7"/>
      <c r="E229" s="7"/>
      <c r="F229" s="7"/>
    </row>
    <row r="230" spans="3:6" x14ac:dyDescent="0.25">
      <c r="C230" s="7"/>
      <c r="D230" s="7"/>
      <c r="E230" s="7"/>
      <c r="F230" s="7"/>
    </row>
    <row r="231" spans="3:6" x14ac:dyDescent="0.25">
      <c r="C231" s="7"/>
      <c r="D231" s="7"/>
      <c r="E231" s="7"/>
      <c r="F231" s="7"/>
    </row>
    <row r="232" spans="3:6" x14ac:dyDescent="0.25">
      <c r="C232" s="7"/>
      <c r="D232" s="7"/>
      <c r="E232" s="7"/>
      <c r="F232" s="7"/>
    </row>
    <row r="233" spans="3:6" x14ac:dyDescent="0.25">
      <c r="C233" s="7"/>
      <c r="D233" s="7"/>
      <c r="E233" s="7"/>
      <c r="F233" s="7"/>
    </row>
  </sheetData>
  <sheetProtection formatCells="0" formatColumns="0" formatRows="0" insertColumns="0" insertRows="0" insertHyperlinks="0" deleteColumns="0" deleteRows="0" sort="0" autoFilter="0" pivotTables="0"/>
  <mergeCells count="29">
    <mergeCell ref="B31:C31"/>
    <mergeCell ref="C33:D33"/>
    <mergeCell ref="E33:F33"/>
    <mergeCell ref="C34:D34"/>
    <mergeCell ref="E34:F34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8:C18"/>
    <mergeCell ref="A1:F1"/>
    <mergeCell ref="D6:E6"/>
    <mergeCell ref="D7:E7"/>
    <mergeCell ref="D8:E8"/>
    <mergeCell ref="B11:C11"/>
    <mergeCell ref="B12:C12"/>
    <mergeCell ref="B13:C13"/>
    <mergeCell ref="B14:C14"/>
    <mergeCell ref="B15:C15"/>
    <mergeCell ref="B16:C16"/>
    <mergeCell ref="B17:C17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9A32D-4F9B-4529-A1BD-C38B448FE371}">
  <sheetPr codeName="Sheet11"/>
  <dimension ref="A1:G95"/>
  <sheetViews>
    <sheetView showGridLines="0" tabSelected="1" topLeftCell="A67" zoomScale="96" zoomScaleNormal="96" workbookViewId="0">
      <selection activeCell="C46" sqref="C46:E46"/>
    </sheetView>
  </sheetViews>
  <sheetFormatPr defaultColWidth="9.09765625" defaultRowHeight="15" x14ac:dyDescent="0.25"/>
  <cols>
    <col min="1" max="1" width="4.69921875" style="35" customWidth="1"/>
    <col min="2" max="2" width="45.59765625" style="35" customWidth="1"/>
    <col min="3" max="3" width="14.09765625" style="35" customWidth="1"/>
    <col min="4" max="5" width="25.69921875" style="35" customWidth="1"/>
    <col min="6" max="6" width="26.59765625" style="35" customWidth="1"/>
    <col min="7" max="7" width="16.09765625" style="35" customWidth="1"/>
    <col min="8" max="16384" width="9.09765625" style="35"/>
  </cols>
  <sheetData>
    <row r="1" spans="1:7" ht="31.5" customHeight="1" x14ac:dyDescent="0.25">
      <c r="A1" s="126" t="s">
        <v>95</v>
      </c>
      <c r="B1" s="127"/>
      <c r="C1" s="127"/>
      <c r="D1" s="127"/>
      <c r="E1" s="127"/>
      <c r="F1" s="128"/>
    </row>
    <row r="2" spans="1:7" ht="18" customHeight="1" x14ac:dyDescent="0.25">
      <c r="A2" s="64"/>
      <c r="B2" s="40" t="s">
        <v>45</v>
      </c>
      <c r="C2" s="130"/>
      <c r="D2" s="130"/>
      <c r="E2" s="31" t="s">
        <v>80</v>
      </c>
      <c r="F2" s="107"/>
    </row>
    <row r="3" spans="1:7" ht="18" customHeight="1" x14ac:dyDescent="0.25">
      <c r="A3" s="64"/>
      <c r="B3" s="40" t="s">
        <v>33</v>
      </c>
      <c r="C3" s="130"/>
      <c r="D3" s="130"/>
      <c r="E3" s="31" t="s">
        <v>34</v>
      </c>
      <c r="F3" s="107"/>
    </row>
    <row r="4" spans="1:7" ht="18" customHeight="1" x14ac:dyDescent="0.25">
      <c r="A4" s="64"/>
      <c r="B4" s="40" t="s">
        <v>35</v>
      </c>
      <c r="C4" s="130"/>
      <c r="D4" s="130"/>
      <c r="E4" s="31" t="s">
        <v>37</v>
      </c>
      <c r="F4" s="107"/>
    </row>
    <row r="5" spans="1:7" x14ac:dyDescent="0.25">
      <c r="A5" s="65"/>
      <c r="B5" s="66"/>
      <c r="C5" s="66"/>
      <c r="D5" s="66"/>
      <c r="E5" s="66"/>
      <c r="F5" s="67"/>
    </row>
    <row r="6" spans="1:7" ht="15.6" x14ac:dyDescent="0.3">
      <c r="A6" s="122" t="s">
        <v>109</v>
      </c>
      <c r="B6" s="123"/>
      <c r="C6" s="123"/>
      <c r="D6" s="123"/>
      <c r="E6" s="123"/>
      <c r="F6" s="124"/>
    </row>
    <row r="7" spans="1:7" ht="15.6" x14ac:dyDescent="0.3">
      <c r="A7" s="77" t="s">
        <v>64</v>
      </c>
      <c r="B7" s="78" t="s">
        <v>46</v>
      </c>
      <c r="C7" s="68" t="s">
        <v>47</v>
      </c>
      <c r="D7" s="68" t="s">
        <v>94</v>
      </c>
      <c r="E7" s="68" t="s">
        <v>48</v>
      </c>
      <c r="F7" s="68" t="s">
        <v>0</v>
      </c>
    </row>
    <row r="8" spans="1:7" x14ac:dyDescent="0.25">
      <c r="A8" s="77">
        <v>1</v>
      </c>
      <c r="B8" s="79" t="s">
        <v>122</v>
      </c>
      <c r="C8" s="80">
        <f>'L1'!D12</f>
        <v>2</v>
      </c>
      <c r="D8" s="52">
        <f>'L1'!E34</f>
        <v>13114.8</v>
      </c>
      <c r="E8" s="52">
        <f>C8*D8</f>
        <v>26229.599999999999</v>
      </c>
      <c r="F8" s="69"/>
    </row>
    <row r="9" spans="1:7" x14ac:dyDescent="0.25">
      <c r="A9" s="77">
        <v>2</v>
      </c>
      <c r="B9" s="79"/>
      <c r="C9" s="80">
        <f>'L2'!D12</f>
        <v>0</v>
      </c>
      <c r="D9" s="52">
        <f>'L2'!E34</f>
        <v>0</v>
      </c>
      <c r="E9" s="52">
        <f>C9*D9</f>
        <v>0</v>
      </c>
      <c r="F9" s="69"/>
    </row>
    <row r="10" spans="1:7" x14ac:dyDescent="0.25">
      <c r="A10" s="77">
        <v>3</v>
      </c>
      <c r="B10" s="79"/>
      <c r="C10" s="80">
        <f>'L3'!D12</f>
        <v>0</v>
      </c>
      <c r="D10" s="52">
        <f>'L3'!E34</f>
        <v>0</v>
      </c>
      <c r="E10" s="52">
        <f t="shared" ref="E10:E11" si="0">C10*D10</f>
        <v>0</v>
      </c>
      <c r="F10" s="69"/>
    </row>
    <row r="11" spans="1:7" x14ac:dyDescent="0.25">
      <c r="A11" s="77">
        <v>4</v>
      </c>
      <c r="B11" s="79"/>
      <c r="C11" s="80">
        <f>'L4'!D12</f>
        <v>0</v>
      </c>
      <c r="D11" s="52">
        <f>'L4'!E34</f>
        <v>0</v>
      </c>
      <c r="E11" s="52">
        <f t="shared" si="0"/>
        <v>0</v>
      </c>
      <c r="F11" s="69"/>
    </row>
    <row r="12" spans="1:7" x14ac:dyDescent="0.25">
      <c r="A12" s="77">
        <v>5</v>
      </c>
      <c r="B12" s="79" t="s">
        <v>84</v>
      </c>
      <c r="C12" s="80">
        <f>'L5 Cost'!D12</f>
        <v>0</v>
      </c>
      <c r="D12" s="52">
        <f>'L5 Cost'!E34</f>
        <v>0</v>
      </c>
      <c r="E12" s="52">
        <f>C12*D12</f>
        <v>0</v>
      </c>
      <c r="F12" s="69"/>
    </row>
    <row r="13" spans="1:7" x14ac:dyDescent="0.25">
      <c r="A13" s="77">
        <v>6</v>
      </c>
      <c r="B13" s="79" t="s">
        <v>102</v>
      </c>
      <c r="C13" s="109">
        <f>'E1'!D12</f>
        <v>0</v>
      </c>
      <c r="D13" s="52">
        <f>'E1'!E34</f>
        <v>0</v>
      </c>
      <c r="E13" s="52">
        <f t="shared" ref="E13:E16" si="1">C13*D13</f>
        <v>0</v>
      </c>
      <c r="F13" s="108"/>
    </row>
    <row r="14" spans="1:7" x14ac:dyDescent="0.25">
      <c r="A14" s="77">
        <v>7</v>
      </c>
      <c r="B14" s="79" t="s">
        <v>103</v>
      </c>
      <c r="C14" s="109">
        <f>'E2'!D12</f>
        <v>0</v>
      </c>
      <c r="D14" s="52">
        <f>'E2'!E34</f>
        <v>0</v>
      </c>
      <c r="E14" s="52">
        <f t="shared" si="1"/>
        <v>0</v>
      </c>
      <c r="F14" s="108"/>
      <c r="G14" s="113"/>
    </row>
    <row r="15" spans="1:7" x14ac:dyDescent="0.25">
      <c r="A15" s="77">
        <v>8</v>
      </c>
      <c r="B15" s="79" t="s">
        <v>104</v>
      </c>
      <c r="C15" s="109">
        <f>'M1'!D12</f>
        <v>0</v>
      </c>
      <c r="D15" s="52">
        <f>'M1'!E34</f>
        <v>0</v>
      </c>
      <c r="E15" s="52">
        <f t="shared" si="1"/>
        <v>0</v>
      </c>
      <c r="F15" s="108"/>
      <c r="G15" s="113"/>
    </row>
    <row r="16" spans="1:7" x14ac:dyDescent="0.25">
      <c r="A16" s="77">
        <v>9</v>
      </c>
      <c r="B16" s="79" t="s">
        <v>106</v>
      </c>
      <c r="C16" s="109">
        <f>'M2'!D12</f>
        <v>0</v>
      </c>
      <c r="D16" s="52">
        <f>'M2'!E34</f>
        <v>0</v>
      </c>
      <c r="E16" s="52">
        <f t="shared" si="1"/>
        <v>0</v>
      </c>
      <c r="F16" s="108"/>
      <c r="G16" s="113"/>
    </row>
    <row r="17" spans="1:7" ht="15.6" x14ac:dyDescent="0.25">
      <c r="A17" s="77">
        <v>10</v>
      </c>
      <c r="B17" s="83" t="s">
        <v>93</v>
      </c>
      <c r="C17" s="84" t="s">
        <v>92</v>
      </c>
      <c r="D17" s="60" t="s">
        <v>92</v>
      </c>
      <c r="E17" s="85">
        <f>SUM(E8:E16)</f>
        <v>26229.599999999999</v>
      </c>
      <c r="F17" s="86"/>
      <c r="G17" s="113"/>
    </row>
    <row r="18" spans="1:7" ht="9.75" customHeight="1" x14ac:dyDescent="0.25">
      <c r="A18" s="89"/>
      <c r="B18" s="90"/>
      <c r="C18" s="91"/>
      <c r="D18" s="92"/>
      <c r="E18" s="93"/>
      <c r="F18" s="94"/>
      <c r="G18" s="113"/>
    </row>
    <row r="19" spans="1:7" ht="15.6" x14ac:dyDescent="0.3">
      <c r="A19" s="122" t="s">
        <v>107</v>
      </c>
      <c r="B19" s="123"/>
      <c r="C19" s="123"/>
      <c r="D19" s="123"/>
      <c r="E19" s="123"/>
      <c r="F19" s="124"/>
      <c r="G19" s="113"/>
    </row>
    <row r="20" spans="1:7" ht="15.6" x14ac:dyDescent="0.3">
      <c r="A20" s="77" t="s">
        <v>64</v>
      </c>
      <c r="B20" s="78" t="s">
        <v>46</v>
      </c>
      <c r="C20" s="68" t="s">
        <v>110</v>
      </c>
      <c r="D20" s="68" t="s">
        <v>94</v>
      </c>
      <c r="E20" s="68" t="s">
        <v>48</v>
      </c>
      <c r="F20" s="68" t="s">
        <v>0</v>
      </c>
    </row>
    <row r="21" spans="1:7" x14ac:dyDescent="0.25">
      <c r="A21" s="77">
        <v>11</v>
      </c>
      <c r="B21" s="79" t="s">
        <v>122</v>
      </c>
      <c r="C21" s="111">
        <v>0.3</v>
      </c>
      <c r="D21" s="52">
        <f>D8/(1-C21)</f>
        <v>18735.428571428572</v>
      </c>
      <c r="E21" s="110">
        <f>E8/(1-C21)</f>
        <v>37470.857142857145</v>
      </c>
      <c r="F21" s="71"/>
      <c r="G21" s="113"/>
    </row>
    <row r="22" spans="1:7" x14ac:dyDescent="0.25">
      <c r="A22" s="87">
        <v>12</v>
      </c>
      <c r="B22" s="79"/>
      <c r="C22" s="111">
        <v>0.3</v>
      </c>
      <c r="D22" s="52">
        <f t="shared" ref="D22:D29" si="2">D9/(1-C22)</f>
        <v>0</v>
      </c>
      <c r="E22" s="110">
        <f t="shared" ref="E22:E29" si="3">E9/(1-C22)</f>
        <v>0</v>
      </c>
      <c r="F22" s="71"/>
      <c r="G22" s="113"/>
    </row>
    <row r="23" spans="1:7" x14ac:dyDescent="0.25">
      <c r="A23" s="77">
        <v>13</v>
      </c>
      <c r="B23" s="79"/>
      <c r="C23" s="111">
        <v>0.28000000000000003</v>
      </c>
      <c r="D23" s="52">
        <f t="shared" si="2"/>
        <v>0</v>
      </c>
      <c r="E23" s="110">
        <f t="shared" si="3"/>
        <v>0</v>
      </c>
      <c r="F23" s="71"/>
      <c r="G23" s="113"/>
    </row>
    <row r="24" spans="1:7" x14ac:dyDescent="0.25">
      <c r="A24" s="87">
        <v>14</v>
      </c>
      <c r="B24" s="79"/>
      <c r="C24" s="111">
        <v>0.2</v>
      </c>
      <c r="D24" s="52">
        <f t="shared" si="2"/>
        <v>0</v>
      </c>
      <c r="E24" s="110">
        <f t="shared" si="3"/>
        <v>0</v>
      </c>
      <c r="F24" s="69"/>
      <c r="G24" s="113"/>
    </row>
    <row r="25" spans="1:7" x14ac:dyDescent="0.25">
      <c r="A25" s="77">
        <v>15</v>
      </c>
      <c r="B25" s="79" t="s">
        <v>84</v>
      </c>
      <c r="C25" s="111">
        <v>0.35</v>
      </c>
      <c r="D25" s="52">
        <f t="shared" si="2"/>
        <v>0</v>
      </c>
      <c r="E25" s="110">
        <f t="shared" si="3"/>
        <v>0</v>
      </c>
      <c r="F25" s="69"/>
      <c r="G25" s="113"/>
    </row>
    <row r="26" spans="1:7" x14ac:dyDescent="0.25">
      <c r="A26" s="87">
        <v>16</v>
      </c>
      <c r="B26" s="79" t="s">
        <v>102</v>
      </c>
      <c r="C26" s="111">
        <v>0.3</v>
      </c>
      <c r="D26" s="52">
        <f t="shared" si="2"/>
        <v>0</v>
      </c>
      <c r="E26" s="110">
        <f t="shared" si="3"/>
        <v>0</v>
      </c>
      <c r="F26" s="69"/>
      <c r="G26" s="113"/>
    </row>
    <row r="27" spans="1:7" x14ac:dyDescent="0.25">
      <c r="A27" s="77">
        <v>17</v>
      </c>
      <c r="B27" s="79" t="s">
        <v>103</v>
      </c>
      <c r="C27" s="111">
        <v>0.3</v>
      </c>
      <c r="D27" s="52">
        <f t="shared" si="2"/>
        <v>0</v>
      </c>
      <c r="E27" s="110">
        <f t="shared" si="3"/>
        <v>0</v>
      </c>
      <c r="F27" s="69"/>
      <c r="G27" s="113"/>
    </row>
    <row r="28" spans="1:7" x14ac:dyDescent="0.25">
      <c r="A28" s="87">
        <v>18</v>
      </c>
      <c r="B28" s="79" t="s">
        <v>104</v>
      </c>
      <c r="C28" s="111">
        <v>0.3</v>
      </c>
      <c r="D28" s="52">
        <f t="shared" si="2"/>
        <v>0</v>
      </c>
      <c r="E28" s="110">
        <f t="shared" si="3"/>
        <v>0</v>
      </c>
      <c r="F28" s="69"/>
      <c r="G28" s="113"/>
    </row>
    <row r="29" spans="1:7" x14ac:dyDescent="0.25">
      <c r="A29" s="77">
        <v>19</v>
      </c>
      <c r="B29" s="79" t="s">
        <v>106</v>
      </c>
      <c r="C29" s="111">
        <v>0.3</v>
      </c>
      <c r="D29" s="52">
        <f t="shared" si="2"/>
        <v>0</v>
      </c>
      <c r="E29" s="110">
        <f t="shared" si="3"/>
        <v>0</v>
      </c>
      <c r="F29" s="69"/>
      <c r="G29" s="113"/>
    </row>
    <row r="30" spans="1:7" ht="15.6" x14ac:dyDescent="0.25">
      <c r="A30" s="87">
        <v>20</v>
      </c>
      <c r="B30" s="82" t="s">
        <v>77</v>
      </c>
      <c r="C30" s="112" t="s">
        <v>92</v>
      </c>
      <c r="D30" s="52" t="s">
        <v>92</v>
      </c>
      <c r="E30" s="52">
        <f>SUM(E21:E29)</f>
        <v>37470.857142857145</v>
      </c>
      <c r="F30" s="72"/>
      <c r="G30" s="113"/>
    </row>
    <row r="31" spans="1:7" ht="9.75" customHeight="1" x14ac:dyDescent="0.25">
      <c r="A31" s="89"/>
      <c r="B31" s="90"/>
      <c r="C31" s="91"/>
      <c r="D31" s="92"/>
      <c r="E31" s="93"/>
      <c r="F31" s="94"/>
      <c r="G31" s="113"/>
    </row>
    <row r="32" spans="1:7" ht="15.6" x14ac:dyDescent="0.3">
      <c r="A32" s="122" t="s">
        <v>108</v>
      </c>
      <c r="B32" s="123"/>
      <c r="C32" s="123"/>
      <c r="D32" s="123"/>
      <c r="E32" s="123"/>
      <c r="F32" s="124"/>
      <c r="G32" s="113"/>
    </row>
    <row r="33" spans="1:7" ht="15.6" x14ac:dyDescent="0.3">
      <c r="A33" s="77" t="s">
        <v>64</v>
      </c>
      <c r="B33" s="78" t="s">
        <v>46</v>
      </c>
      <c r="C33" s="68" t="s">
        <v>47</v>
      </c>
      <c r="D33" s="68" t="s">
        <v>94</v>
      </c>
      <c r="E33" s="68" t="s">
        <v>48</v>
      </c>
      <c r="F33" s="68" t="s">
        <v>0</v>
      </c>
    </row>
    <row r="34" spans="1:7" x14ac:dyDescent="0.25">
      <c r="A34" s="77">
        <v>21</v>
      </c>
      <c r="B34" s="79" t="s">
        <v>122</v>
      </c>
      <c r="C34" s="109">
        <f>C8</f>
        <v>2</v>
      </c>
      <c r="D34" s="52">
        <f t="shared" ref="D34:E42" si="4">D21-D8</f>
        <v>5620.6285714285732</v>
      </c>
      <c r="E34" s="85">
        <f>E21-E8</f>
        <v>11241.257142857146</v>
      </c>
      <c r="F34" s="69"/>
      <c r="G34" s="113"/>
    </row>
    <row r="35" spans="1:7" x14ac:dyDescent="0.25">
      <c r="A35" s="77">
        <v>22</v>
      </c>
      <c r="B35" s="79"/>
      <c r="C35" s="109">
        <f t="shared" ref="C35:C42" si="5">C9</f>
        <v>0</v>
      </c>
      <c r="D35" s="52">
        <f t="shared" si="4"/>
        <v>0</v>
      </c>
      <c r="E35" s="85">
        <f t="shared" si="4"/>
        <v>0</v>
      </c>
      <c r="F35" s="69"/>
      <c r="G35" s="113"/>
    </row>
    <row r="36" spans="1:7" x14ac:dyDescent="0.25">
      <c r="A36" s="77">
        <v>23</v>
      </c>
      <c r="B36" s="79"/>
      <c r="C36" s="109">
        <f t="shared" si="5"/>
        <v>0</v>
      </c>
      <c r="D36" s="52">
        <f t="shared" si="4"/>
        <v>0</v>
      </c>
      <c r="E36" s="85">
        <f t="shared" si="4"/>
        <v>0</v>
      </c>
      <c r="F36" s="69"/>
      <c r="G36" s="113"/>
    </row>
    <row r="37" spans="1:7" x14ac:dyDescent="0.25">
      <c r="A37" s="77">
        <v>24</v>
      </c>
      <c r="B37" s="79"/>
      <c r="C37" s="109">
        <f t="shared" si="5"/>
        <v>0</v>
      </c>
      <c r="D37" s="52">
        <f t="shared" si="4"/>
        <v>0</v>
      </c>
      <c r="E37" s="85">
        <f t="shared" si="4"/>
        <v>0</v>
      </c>
      <c r="F37" s="69"/>
      <c r="G37" s="113"/>
    </row>
    <row r="38" spans="1:7" x14ac:dyDescent="0.25">
      <c r="A38" s="77">
        <v>25</v>
      </c>
      <c r="B38" s="79" t="s">
        <v>84</v>
      </c>
      <c r="C38" s="109">
        <f t="shared" si="5"/>
        <v>0</v>
      </c>
      <c r="D38" s="52">
        <f t="shared" si="4"/>
        <v>0</v>
      </c>
      <c r="E38" s="85">
        <f t="shared" si="4"/>
        <v>0</v>
      </c>
      <c r="F38" s="69"/>
      <c r="G38" s="113"/>
    </row>
    <row r="39" spans="1:7" x14ac:dyDescent="0.25">
      <c r="A39" s="77">
        <v>26</v>
      </c>
      <c r="B39" s="79" t="s">
        <v>102</v>
      </c>
      <c r="C39" s="109">
        <f t="shared" si="5"/>
        <v>0</v>
      </c>
      <c r="D39" s="52">
        <f t="shared" si="4"/>
        <v>0</v>
      </c>
      <c r="E39" s="85">
        <f t="shared" si="4"/>
        <v>0</v>
      </c>
      <c r="F39" s="69"/>
      <c r="G39" s="113"/>
    </row>
    <row r="40" spans="1:7" x14ac:dyDescent="0.25">
      <c r="A40" s="77">
        <v>27</v>
      </c>
      <c r="B40" s="79" t="s">
        <v>103</v>
      </c>
      <c r="C40" s="109">
        <f t="shared" si="5"/>
        <v>0</v>
      </c>
      <c r="D40" s="52">
        <f t="shared" si="4"/>
        <v>0</v>
      </c>
      <c r="E40" s="85">
        <f t="shared" si="4"/>
        <v>0</v>
      </c>
      <c r="F40" s="69"/>
      <c r="G40" s="113"/>
    </row>
    <row r="41" spans="1:7" x14ac:dyDescent="0.25">
      <c r="A41" s="77">
        <v>28</v>
      </c>
      <c r="B41" s="79" t="s">
        <v>104</v>
      </c>
      <c r="C41" s="109">
        <f t="shared" si="5"/>
        <v>0</v>
      </c>
      <c r="D41" s="52">
        <f t="shared" si="4"/>
        <v>0</v>
      </c>
      <c r="E41" s="85">
        <f t="shared" si="4"/>
        <v>0</v>
      </c>
      <c r="F41" s="69"/>
      <c r="G41" s="113"/>
    </row>
    <row r="42" spans="1:7" x14ac:dyDescent="0.25">
      <c r="A42" s="77">
        <v>29</v>
      </c>
      <c r="B42" s="79" t="s">
        <v>106</v>
      </c>
      <c r="C42" s="109">
        <f t="shared" si="5"/>
        <v>0</v>
      </c>
      <c r="D42" s="52">
        <f t="shared" si="4"/>
        <v>0</v>
      </c>
      <c r="E42" s="85">
        <f t="shared" si="4"/>
        <v>0</v>
      </c>
      <c r="F42" s="69"/>
      <c r="G42" s="113"/>
    </row>
    <row r="43" spans="1:7" ht="15.6" x14ac:dyDescent="0.25">
      <c r="A43" s="77">
        <v>30</v>
      </c>
      <c r="B43" s="82" t="s">
        <v>78</v>
      </c>
      <c r="C43" s="95" t="s">
        <v>92</v>
      </c>
      <c r="D43" s="52" t="s">
        <v>92</v>
      </c>
      <c r="E43" s="85">
        <f>E30-E17</f>
        <v>11241.257142857146</v>
      </c>
      <c r="F43" s="69"/>
      <c r="G43" s="113"/>
    </row>
    <row r="44" spans="1:7" ht="9.75" customHeight="1" x14ac:dyDescent="0.25">
      <c r="A44" s="89"/>
      <c r="B44" s="90"/>
      <c r="C44" s="91"/>
      <c r="D44" s="92"/>
      <c r="E44" s="93"/>
      <c r="F44" s="94"/>
      <c r="G44" s="113"/>
    </row>
    <row r="45" spans="1:7" x14ac:dyDescent="0.25">
      <c r="A45" s="77">
        <v>31</v>
      </c>
      <c r="B45" s="69" t="s">
        <v>97</v>
      </c>
      <c r="C45" s="129">
        <v>14000</v>
      </c>
      <c r="D45" s="129"/>
      <c r="E45" s="129"/>
      <c r="F45" s="69"/>
      <c r="G45" s="113"/>
    </row>
    <row r="46" spans="1:7" x14ac:dyDescent="0.25">
      <c r="A46" s="77">
        <v>32</v>
      </c>
      <c r="B46" s="69" t="s">
        <v>111</v>
      </c>
      <c r="C46" s="125">
        <f>C45/SUM(C8:C16)</f>
        <v>7000</v>
      </c>
      <c r="D46" s="125"/>
      <c r="E46" s="125"/>
      <c r="F46" s="69"/>
      <c r="G46" s="113"/>
    </row>
    <row r="47" spans="1:7" ht="9.75" customHeight="1" x14ac:dyDescent="0.25">
      <c r="A47" s="89"/>
      <c r="B47" s="90"/>
      <c r="C47" s="91"/>
      <c r="D47" s="92"/>
      <c r="E47" s="93"/>
      <c r="F47" s="94"/>
      <c r="G47" s="113"/>
    </row>
    <row r="48" spans="1:7" ht="15.6" x14ac:dyDescent="0.3">
      <c r="A48" s="122" t="s">
        <v>112</v>
      </c>
      <c r="B48" s="123"/>
      <c r="C48" s="123"/>
      <c r="D48" s="123"/>
      <c r="E48" s="123"/>
      <c r="F48" s="124"/>
      <c r="G48" s="113"/>
    </row>
    <row r="49" spans="1:7" ht="15.6" x14ac:dyDescent="0.3">
      <c r="A49" s="77" t="s">
        <v>64</v>
      </c>
      <c r="B49" s="78" t="s">
        <v>46</v>
      </c>
      <c r="C49" s="68" t="s">
        <v>47</v>
      </c>
      <c r="D49" s="68" t="s">
        <v>94</v>
      </c>
      <c r="E49" s="68" t="s">
        <v>48</v>
      </c>
      <c r="F49" s="68" t="s">
        <v>0</v>
      </c>
    </row>
    <row r="50" spans="1:7" x14ac:dyDescent="0.25">
      <c r="A50" s="77">
        <v>33</v>
      </c>
      <c r="B50" s="79" t="s">
        <v>122</v>
      </c>
      <c r="C50" s="109">
        <f>C8</f>
        <v>2</v>
      </c>
      <c r="D50" s="52">
        <f>E50/C50</f>
        <v>25735.428571428572</v>
      </c>
      <c r="E50" s="85">
        <f>E21+C8*$C$46</f>
        <v>51470.857142857145</v>
      </c>
      <c r="F50" s="69"/>
      <c r="G50" s="113"/>
    </row>
    <row r="51" spans="1:7" x14ac:dyDescent="0.25">
      <c r="A51" s="77">
        <v>34</v>
      </c>
      <c r="B51" s="79"/>
      <c r="C51" s="109">
        <f t="shared" ref="C51:C58" si="6">C9</f>
        <v>0</v>
      </c>
      <c r="D51" s="52" t="e">
        <f t="shared" ref="D51:D58" si="7">E51/C51</f>
        <v>#DIV/0!</v>
      </c>
      <c r="E51" s="85">
        <f t="shared" ref="E51:E58" si="8">E22+C9*$C$46</f>
        <v>0</v>
      </c>
      <c r="F51" s="69"/>
      <c r="G51" s="113"/>
    </row>
    <row r="52" spans="1:7" x14ac:dyDescent="0.25">
      <c r="A52" s="77">
        <v>35</v>
      </c>
      <c r="B52" s="79"/>
      <c r="C52" s="109">
        <f t="shared" si="6"/>
        <v>0</v>
      </c>
      <c r="D52" s="52" t="e">
        <f t="shared" si="7"/>
        <v>#DIV/0!</v>
      </c>
      <c r="E52" s="85">
        <f t="shared" si="8"/>
        <v>0</v>
      </c>
      <c r="F52" s="69"/>
      <c r="G52" s="113"/>
    </row>
    <row r="53" spans="1:7" x14ac:dyDescent="0.25">
      <c r="A53" s="77">
        <v>36</v>
      </c>
      <c r="B53" s="79"/>
      <c r="C53" s="109">
        <f t="shared" si="6"/>
        <v>0</v>
      </c>
      <c r="D53" s="52" t="e">
        <f t="shared" si="7"/>
        <v>#DIV/0!</v>
      </c>
      <c r="E53" s="85">
        <f t="shared" si="8"/>
        <v>0</v>
      </c>
      <c r="F53" s="69"/>
      <c r="G53" s="113"/>
    </row>
    <row r="54" spans="1:7" x14ac:dyDescent="0.25">
      <c r="A54" s="77">
        <v>37</v>
      </c>
      <c r="B54" s="79" t="s">
        <v>84</v>
      </c>
      <c r="C54" s="109">
        <f t="shared" si="6"/>
        <v>0</v>
      </c>
      <c r="D54" s="52" t="e">
        <f t="shared" si="7"/>
        <v>#DIV/0!</v>
      </c>
      <c r="E54" s="85">
        <f t="shared" si="8"/>
        <v>0</v>
      </c>
      <c r="F54" s="69"/>
      <c r="G54" s="113"/>
    </row>
    <row r="55" spans="1:7" x14ac:dyDescent="0.25">
      <c r="A55" s="77">
        <v>38</v>
      </c>
      <c r="B55" s="79" t="s">
        <v>102</v>
      </c>
      <c r="C55" s="109">
        <f t="shared" si="6"/>
        <v>0</v>
      </c>
      <c r="D55" s="52" t="e">
        <f t="shared" si="7"/>
        <v>#DIV/0!</v>
      </c>
      <c r="E55" s="85">
        <f t="shared" si="8"/>
        <v>0</v>
      </c>
      <c r="F55" s="69"/>
      <c r="G55" s="113"/>
    </row>
    <row r="56" spans="1:7" x14ac:dyDescent="0.25">
      <c r="A56" s="77">
        <v>39</v>
      </c>
      <c r="B56" s="79" t="s">
        <v>103</v>
      </c>
      <c r="C56" s="109">
        <f t="shared" si="6"/>
        <v>0</v>
      </c>
      <c r="D56" s="52" t="e">
        <f t="shared" si="7"/>
        <v>#DIV/0!</v>
      </c>
      <c r="E56" s="85">
        <f t="shared" si="8"/>
        <v>0</v>
      </c>
      <c r="F56" s="69"/>
      <c r="G56" s="113"/>
    </row>
    <row r="57" spans="1:7" x14ac:dyDescent="0.25">
      <c r="A57" s="77">
        <v>40</v>
      </c>
      <c r="B57" s="79" t="s">
        <v>104</v>
      </c>
      <c r="C57" s="109">
        <f t="shared" si="6"/>
        <v>0</v>
      </c>
      <c r="D57" s="52" t="e">
        <f t="shared" si="7"/>
        <v>#DIV/0!</v>
      </c>
      <c r="E57" s="85">
        <f t="shared" si="8"/>
        <v>0</v>
      </c>
      <c r="F57" s="69"/>
      <c r="G57" s="113"/>
    </row>
    <row r="58" spans="1:7" x14ac:dyDescent="0.25">
      <c r="A58" s="77">
        <v>41</v>
      </c>
      <c r="B58" s="79" t="s">
        <v>106</v>
      </c>
      <c r="C58" s="109">
        <f t="shared" si="6"/>
        <v>0</v>
      </c>
      <c r="D58" s="52" t="e">
        <f t="shared" si="7"/>
        <v>#DIV/0!</v>
      </c>
      <c r="E58" s="85">
        <f t="shared" si="8"/>
        <v>0</v>
      </c>
      <c r="F58" s="69"/>
      <c r="G58" s="113"/>
    </row>
    <row r="59" spans="1:7" ht="15.6" x14ac:dyDescent="0.25">
      <c r="A59" s="77">
        <v>42</v>
      </c>
      <c r="B59" s="82" t="s">
        <v>75</v>
      </c>
      <c r="C59" s="95" t="s">
        <v>92</v>
      </c>
      <c r="D59" s="52" t="s">
        <v>92</v>
      </c>
      <c r="E59" s="85">
        <f>E30+C45</f>
        <v>51470.857142857145</v>
      </c>
      <c r="F59" s="69"/>
      <c r="G59" s="113"/>
    </row>
    <row r="60" spans="1:7" ht="9.75" customHeight="1" x14ac:dyDescent="0.25">
      <c r="A60" s="89"/>
      <c r="B60" s="90"/>
      <c r="C60" s="91"/>
      <c r="D60" s="92"/>
      <c r="E60" s="93"/>
      <c r="F60" s="94"/>
      <c r="G60" s="113"/>
    </row>
    <row r="61" spans="1:7" ht="15.6" x14ac:dyDescent="0.3">
      <c r="A61" s="122" t="s">
        <v>113</v>
      </c>
      <c r="B61" s="123"/>
      <c r="C61" s="123"/>
      <c r="D61" s="123"/>
      <c r="E61" s="123"/>
      <c r="F61" s="124"/>
      <c r="G61" s="113"/>
    </row>
    <row r="62" spans="1:7" ht="15.6" x14ac:dyDescent="0.3">
      <c r="A62" s="77" t="s">
        <v>64</v>
      </c>
      <c r="B62" s="78" t="s">
        <v>46</v>
      </c>
      <c r="C62" s="68" t="s">
        <v>110</v>
      </c>
      <c r="D62" s="68" t="s">
        <v>94</v>
      </c>
      <c r="E62" s="68" t="s">
        <v>48</v>
      </c>
      <c r="F62" s="68" t="s">
        <v>0</v>
      </c>
    </row>
    <row r="63" spans="1:7" x14ac:dyDescent="0.25">
      <c r="A63" s="77">
        <v>43</v>
      </c>
      <c r="B63" s="79" t="s">
        <v>122</v>
      </c>
      <c r="C63" s="112">
        <v>0.05</v>
      </c>
      <c r="D63" s="58">
        <f t="shared" ref="D63:D71" si="9">D50/(1-C63)</f>
        <v>27089.924812030076</v>
      </c>
      <c r="E63" s="58">
        <f>E50/(1-C63)</f>
        <v>54179.849624060153</v>
      </c>
      <c r="F63" s="69"/>
      <c r="G63" s="113"/>
    </row>
    <row r="64" spans="1:7" x14ac:dyDescent="0.25">
      <c r="A64" s="77">
        <v>44</v>
      </c>
      <c r="B64" s="79"/>
      <c r="C64" s="112">
        <v>7.0000000000000007E-2</v>
      </c>
      <c r="D64" s="58" t="e">
        <f t="shared" si="9"/>
        <v>#DIV/0!</v>
      </c>
      <c r="E64" s="58">
        <f t="shared" ref="E64:E71" si="10">E51/(1-C64)</f>
        <v>0</v>
      </c>
      <c r="F64" s="69"/>
      <c r="G64" s="113"/>
    </row>
    <row r="65" spans="1:7" x14ac:dyDescent="0.25">
      <c r="A65" s="77">
        <v>45</v>
      </c>
      <c r="B65" s="79"/>
      <c r="C65" s="112">
        <v>7.0000000000000007E-2</v>
      </c>
      <c r="D65" s="58" t="e">
        <f t="shared" si="9"/>
        <v>#DIV/0!</v>
      </c>
      <c r="E65" s="58">
        <f t="shared" si="10"/>
        <v>0</v>
      </c>
      <c r="F65" s="69"/>
      <c r="G65" s="113"/>
    </row>
    <row r="66" spans="1:7" x14ac:dyDescent="0.25">
      <c r="A66" s="77">
        <v>46</v>
      </c>
      <c r="B66" s="79"/>
      <c r="C66" s="112">
        <v>0.05</v>
      </c>
      <c r="D66" s="58" t="e">
        <f t="shared" si="9"/>
        <v>#DIV/0!</v>
      </c>
      <c r="E66" s="58">
        <f t="shared" si="10"/>
        <v>0</v>
      </c>
      <c r="F66" s="69"/>
      <c r="G66" s="113"/>
    </row>
    <row r="67" spans="1:7" x14ac:dyDescent="0.25">
      <c r="A67" s="77">
        <v>47</v>
      </c>
      <c r="B67" s="79" t="s">
        <v>84</v>
      </c>
      <c r="C67" s="112">
        <v>0.05</v>
      </c>
      <c r="D67" s="58" t="e">
        <f t="shared" si="9"/>
        <v>#DIV/0!</v>
      </c>
      <c r="E67" s="58">
        <f t="shared" si="10"/>
        <v>0</v>
      </c>
      <c r="F67" s="69"/>
      <c r="G67" s="113"/>
    </row>
    <row r="68" spans="1:7" x14ac:dyDescent="0.25">
      <c r="A68" s="77">
        <v>48</v>
      </c>
      <c r="B68" s="79" t="s">
        <v>102</v>
      </c>
      <c r="C68" s="112">
        <v>0.05</v>
      </c>
      <c r="D68" s="58" t="e">
        <f t="shared" si="9"/>
        <v>#DIV/0!</v>
      </c>
      <c r="E68" s="58">
        <f t="shared" si="10"/>
        <v>0</v>
      </c>
      <c r="F68" s="69"/>
      <c r="G68" s="113"/>
    </row>
    <row r="69" spans="1:7" x14ac:dyDescent="0.25">
      <c r="A69" s="77">
        <v>49</v>
      </c>
      <c r="B69" s="79" t="s">
        <v>103</v>
      </c>
      <c r="C69" s="112">
        <v>0.05</v>
      </c>
      <c r="D69" s="58" t="e">
        <f t="shared" si="9"/>
        <v>#DIV/0!</v>
      </c>
      <c r="E69" s="58">
        <f t="shared" si="10"/>
        <v>0</v>
      </c>
      <c r="F69" s="69"/>
      <c r="G69" s="113"/>
    </row>
    <row r="70" spans="1:7" x14ac:dyDescent="0.25">
      <c r="A70" s="77">
        <v>50</v>
      </c>
      <c r="B70" s="79" t="s">
        <v>104</v>
      </c>
      <c r="C70" s="112">
        <v>0.05</v>
      </c>
      <c r="D70" s="58" t="e">
        <f t="shared" si="9"/>
        <v>#DIV/0!</v>
      </c>
      <c r="E70" s="58">
        <f t="shared" si="10"/>
        <v>0</v>
      </c>
      <c r="F70" s="69"/>
      <c r="G70" s="113"/>
    </row>
    <row r="71" spans="1:7" x14ac:dyDescent="0.25">
      <c r="A71" s="77">
        <v>51</v>
      </c>
      <c r="B71" s="79" t="s">
        <v>106</v>
      </c>
      <c r="C71" s="112">
        <v>0.05</v>
      </c>
      <c r="D71" s="58" t="e">
        <f t="shared" si="9"/>
        <v>#DIV/0!</v>
      </c>
      <c r="E71" s="58">
        <f t="shared" si="10"/>
        <v>0</v>
      </c>
      <c r="F71" s="69"/>
      <c r="G71" s="113"/>
    </row>
    <row r="72" spans="1:7" s="96" customFormat="1" ht="26.25" customHeight="1" x14ac:dyDescent="0.3">
      <c r="A72" s="77">
        <v>52</v>
      </c>
      <c r="B72" s="98" t="s">
        <v>76</v>
      </c>
      <c r="C72" s="99" t="s">
        <v>92</v>
      </c>
      <c r="D72" s="99" t="s">
        <v>92</v>
      </c>
      <c r="E72" s="100">
        <f>SUM(E63:E71)</f>
        <v>54179.849624060153</v>
      </c>
      <c r="F72" s="101"/>
      <c r="G72" s="114"/>
    </row>
    <row r="73" spans="1:7" ht="9.75" customHeight="1" x14ac:dyDescent="0.25">
      <c r="A73" s="89"/>
      <c r="B73" s="90"/>
      <c r="C73" s="91"/>
      <c r="D73" s="92"/>
      <c r="E73" s="93"/>
      <c r="F73" s="94"/>
      <c r="G73" s="113"/>
    </row>
    <row r="74" spans="1:7" ht="22.5" customHeight="1" x14ac:dyDescent="0.25">
      <c r="A74" s="77">
        <v>53</v>
      </c>
      <c r="B74" s="82" t="s">
        <v>100</v>
      </c>
      <c r="C74" s="95"/>
      <c r="D74" s="97"/>
      <c r="E74" s="58">
        <f>E17+C45+E78</f>
        <v>42938.592481203006</v>
      </c>
      <c r="F74" s="69"/>
      <c r="G74" s="113"/>
    </row>
    <row r="75" spans="1:7" ht="9.75" customHeight="1" x14ac:dyDescent="0.25">
      <c r="A75" s="89"/>
      <c r="B75" s="90"/>
      <c r="C75" s="91"/>
      <c r="D75" s="92"/>
      <c r="E75" s="93"/>
      <c r="F75" s="94"/>
      <c r="G75" s="113"/>
    </row>
    <row r="76" spans="1:7" s="96" customFormat="1" ht="26.25" customHeight="1" x14ac:dyDescent="0.3">
      <c r="A76" s="77">
        <v>54</v>
      </c>
      <c r="B76" s="98" t="s">
        <v>99</v>
      </c>
      <c r="C76" s="99" t="s">
        <v>92</v>
      </c>
      <c r="D76" s="99" t="s">
        <v>92</v>
      </c>
      <c r="E76" s="100"/>
      <c r="F76" s="121"/>
      <c r="G76" s="114"/>
    </row>
    <row r="77" spans="1:7" ht="9.75" customHeight="1" x14ac:dyDescent="0.25">
      <c r="A77" s="89"/>
      <c r="B77" s="90"/>
      <c r="C77" s="91"/>
      <c r="D77" s="92"/>
      <c r="E77" s="93"/>
      <c r="F77" s="94"/>
      <c r="G77" s="113"/>
    </row>
    <row r="78" spans="1:7" ht="15.6" x14ac:dyDescent="0.25">
      <c r="A78" s="77">
        <v>55</v>
      </c>
      <c r="B78" s="82" t="s">
        <v>68</v>
      </c>
      <c r="C78" s="80"/>
      <c r="D78" s="81"/>
      <c r="E78" s="81">
        <f>SUMPRODUCT(C63:C71,E63:E71)</f>
        <v>2708.9924812030076</v>
      </c>
      <c r="F78" s="71"/>
      <c r="G78" s="113"/>
    </row>
    <row r="79" spans="1:7" ht="15.6" x14ac:dyDescent="0.25">
      <c r="A79" s="77">
        <v>56</v>
      </c>
      <c r="B79" s="82" t="s">
        <v>98</v>
      </c>
      <c r="C79" s="80"/>
      <c r="D79" s="81"/>
      <c r="E79" s="111">
        <f>IF(E72&gt;0,E43/E72,0)</f>
        <v>0.20748040500033313</v>
      </c>
      <c r="F79" s="71"/>
      <c r="G79" s="113"/>
    </row>
    <row r="80" spans="1:7" x14ac:dyDescent="0.25">
      <c r="A80" s="113"/>
      <c r="B80" s="113"/>
      <c r="C80" s="113"/>
      <c r="D80" s="113"/>
      <c r="E80" s="113"/>
      <c r="F80" s="113"/>
      <c r="G80" s="113"/>
    </row>
    <row r="81" spans="1:7" x14ac:dyDescent="0.25">
      <c r="A81" s="113"/>
      <c r="B81" s="113"/>
      <c r="C81" s="113"/>
      <c r="D81" s="113"/>
      <c r="E81" s="113"/>
      <c r="F81" s="113"/>
      <c r="G81" s="113"/>
    </row>
    <row r="82" spans="1:7" x14ac:dyDescent="0.25">
      <c r="A82" s="113"/>
      <c r="B82" s="113"/>
      <c r="C82" s="113"/>
      <c r="D82" s="113"/>
      <c r="E82" s="113"/>
      <c r="F82" s="113"/>
      <c r="G82" s="113"/>
    </row>
    <row r="83" spans="1:7" x14ac:dyDescent="0.25">
      <c r="A83" s="113"/>
      <c r="B83" s="113"/>
      <c r="C83" s="113"/>
      <c r="D83" s="113"/>
      <c r="E83" s="113"/>
      <c r="F83" s="113"/>
      <c r="G83" s="113"/>
    </row>
    <row r="84" spans="1:7" x14ac:dyDescent="0.25">
      <c r="A84" s="113"/>
      <c r="B84" s="113"/>
      <c r="C84" s="113"/>
      <c r="D84" s="113"/>
      <c r="E84" s="113"/>
      <c r="F84" s="113"/>
      <c r="G84" s="113"/>
    </row>
    <row r="85" spans="1:7" x14ac:dyDescent="0.25">
      <c r="A85" s="113"/>
      <c r="B85" s="113"/>
      <c r="C85" s="113"/>
      <c r="D85" s="113"/>
      <c r="E85" s="113"/>
      <c r="F85" s="113"/>
      <c r="G85" s="113"/>
    </row>
    <row r="86" spans="1:7" x14ac:dyDescent="0.25">
      <c r="A86" s="113"/>
      <c r="B86" s="113"/>
      <c r="C86" s="113"/>
      <c r="D86" s="113"/>
      <c r="E86" s="113"/>
      <c r="F86" s="113"/>
      <c r="G86" s="113"/>
    </row>
    <row r="87" spans="1:7" x14ac:dyDescent="0.25">
      <c r="A87" s="113"/>
      <c r="B87" s="113"/>
      <c r="C87" s="113"/>
      <c r="D87" s="113"/>
      <c r="E87" s="113"/>
      <c r="F87" s="113"/>
      <c r="G87" s="113"/>
    </row>
    <row r="88" spans="1:7" x14ac:dyDescent="0.25">
      <c r="A88" s="113"/>
      <c r="B88" s="113"/>
      <c r="C88" s="113"/>
      <c r="D88" s="113"/>
      <c r="E88" s="113"/>
      <c r="F88" s="113"/>
      <c r="G88" s="113"/>
    </row>
    <row r="89" spans="1:7" x14ac:dyDescent="0.25">
      <c r="A89" s="113"/>
      <c r="B89" s="113"/>
      <c r="C89" s="113"/>
      <c r="D89" s="113"/>
      <c r="E89" s="113"/>
      <c r="F89" s="113"/>
      <c r="G89" s="113"/>
    </row>
    <row r="90" spans="1:7" x14ac:dyDescent="0.25">
      <c r="A90" s="113"/>
      <c r="B90" s="113"/>
      <c r="C90" s="113"/>
      <c r="D90" s="113"/>
      <c r="E90" s="113"/>
      <c r="F90" s="113"/>
      <c r="G90" s="113"/>
    </row>
    <row r="91" spans="1:7" x14ac:dyDescent="0.25">
      <c r="A91" s="113"/>
      <c r="B91" s="113"/>
      <c r="C91" s="113"/>
      <c r="D91" s="113"/>
      <c r="E91" s="113"/>
      <c r="F91" s="113"/>
      <c r="G91" s="113"/>
    </row>
    <row r="92" spans="1:7" x14ac:dyDescent="0.25">
      <c r="A92" s="113"/>
      <c r="B92" s="113"/>
      <c r="C92" s="113"/>
      <c r="D92" s="113"/>
      <c r="E92" s="113"/>
      <c r="F92" s="113"/>
      <c r="G92" s="113"/>
    </row>
    <row r="93" spans="1:7" x14ac:dyDescent="0.25">
      <c r="A93" s="113"/>
      <c r="B93" s="113"/>
      <c r="C93" s="113"/>
      <c r="D93" s="113"/>
      <c r="E93" s="113"/>
      <c r="F93" s="113"/>
      <c r="G93" s="113"/>
    </row>
    <row r="94" spans="1:7" x14ac:dyDescent="0.25">
      <c r="A94" s="113"/>
      <c r="B94" s="113"/>
      <c r="C94" s="113"/>
      <c r="D94" s="113"/>
      <c r="E94" s="113"/>
      <c r="F94" s="113"/>
      <c r="G94" s="113"/>
    </row>
    <row r="95" spans="1:7" x14ac:dyDescent="0.25">
      <c r="A95" s="113"/>
      <c r="B95" s="113"/>
      <c r="C95" s="113"/>
      <c r="D95" s="113"/>
      <c r="E95" s="113"/>
      <c r="F95" s="113"/>
      <c r="G95" s="113"/>
    </row>
  </sheetData>
  <sheetProtection formatCells="0" formatColumns="0" formatRows="0" insertColumns="0" insertRows="0" insertHyperlinks="0" deleteColumns="0" deleteRows="0" sort="0" autoFilter="0" pivotTables="0"/>
  <mergeCells count="11">
    <mergeCell ref="A1:F1"/>
    <mergeCell ref="C45:E45"/>
    <mergeCell ref="C2:D2"/>
    <mergeCell ref="C3:D3"/>
    <mergeCell ref="C4:D4"/>
    <mergeCell ref="A61:F61"/>
    <mergeCell ref="C46:E46"/>
    <mergeCell ref="A6:F6"/>
    <mergeCell ref="A19:F19"/>
    <mergeCell ref="A32:F32"/>
    <mergeCell ref="A48:F48"/>
  </mergeCells>
  <phoneticPr fontId="10" type="noConversion"/>
  <pageMargins left="0.7" right="0.7" top="0.75" bottom="0.75" header="0.3" footer="0.3"/>
  <pageSetup paperSize="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712FE-C0CF-410C-B16E-FB8EB50D9E56}">
  <sheetPr codeName="Sheet12"/>
  <dimension ref="A1:I49"/>
  <sheetViews>
    <sheetView showGridLines="0" topLeftCell="A4" zoomScale="85" zoomScaleNormal="85" workbookViewId="0">
      <selection activeCell="E21" sqref="E21"/>
    </sheetView>
  </sheetViews>
  <sheetFormatPr defaultColWidth="9.09765625" defaultRowHeight="15" x14ac:dyDescent="0.25"/>
  <cols>
    <col min="1" max="1" width="4.69921875" style="35" customWidth="1"/>
    <col min="2" max="2" width="45.59765625" style="35" customWidth="1"/>
    <col min="3" max="3" width="12.59765625" style="35" customWidth="1"/>
    <col min="4" max="4" width="22.3984375" style="35" customWidth="1"/>
    <col min="5" max="5" width="25.69921875" style="35" customWidth="1"/>
    <col min="6" max="6" width="26.59765625" style="35" customWidth="1"/>
    <col min="7" max="7" width="11.59765625" style="35" customWidth="1"/>
    <col min="8" max="8" width="15.09765625" style="35" bestFit="1" customWidth="1"/>
    <col min="9" max="9" width="17.59765625" style="35" bestFit="1" customWidth="1"/>
    <col min="10" max="10" width="12.59765625" style="35" bestFit="1" customWidth="1"/>
    <col min="11" max="11" width="9.09765625" style="35"/>
    <col min="12" max="12" width="16.09765625" style="35" customWidth="1"/>
    <col min="13" max="16384" width="9.09765625" style="35"/>
  </cols>
  <sheetData>
    <row r="1" spans="1:9" ht="31.5" customHeight="1" x14ac:dyDescent="0.25">
      <c r="A1" s="126" t="s">
        <v>96</v>
      </c>
      <c r="B1" s="127"/>
      <c r="C1" s="127"/>
      <c r="D1" s="127"/>
      <c r="E1" s="127"/>
      <c r="F1" s="128"/>
    </row>
    <row r="2" spans="1:9" ht="18" customHeight="1" x14ac:dyDescent="0.25">
      <c r="A2" s="64"/>
      <c r="B2" s="40" t="s">
        <v>45</v>
      </c>
      <c r="C2" s="102"/>
      <c r="D2" s="102"/>
      <c r="E2" s="31" t="s">
        <v>80</v>
      </c>
      <c r="F2" s="107"/>
    </row>
    <row r="3" spans="1:9" ht="18" customHeight="1" x14ac:dyDescent="0.25">
      <c r="A3" s="64"/>
      <c r="B3" s="40" t="s">
        <v>33</v>
      </c>
      <c r="C3" s="102"/>
      <c r="D3" s="102"/>
      <c r="E3" s="31" t="s">
        <v>34</v>
      </c>
      <c r="F3" s="107"/>
    </row>
    <row r="4" spans="1:9" ht="18" customHeight="1" x14ac:dyDescent="0.25">
      <c r="A4" s="64"/>
      <c r="B4" s="40" t="s">
        <v>35</v>
      </c>
      <c r="C4" s="102"/>
      <c r="D4" s="102"/>
      <c r="E4" s="31" t="s">
        <v>37</v>
      </c>
      <c r="F4" s="107"/>
    </row>
    <row r="5" spans="1:9" x14ac:dyDescent="0.25">
      <c r="A5" s="65"/>
      <c r="B5" s="66"/>
      <c r="C5" s="66"/>
      <c r="D5" s="66"/>
      <c r="E5" s="66"/>
      <c r="F5" s="67"/>
    </row>
    <row r="6" spans="1:9" ht="15.6" x14ac:dyDescent="0.3">
      <c r="A6" s="122" t="s">
        <v>114</v>
      </c>
      <c r="B6" s="123"/>
      <c r="C6" s="123"/>
      <c r="D6" s="123"/>
      <c r="E6" s="123"/>
      <c r="F6" s="124"/>
    </row>
    <row r="7" spans="1:9" ht="15.6" x14ac:dyDescent="0.3">
      <c r="A7" s="77" t="s">
        <v>64</v>
      </c>
      <c r="B7" s="78" t="s">
        <v>46</v>
      </c>
      <c r="C7" s="68" t="s">
        <v>110</v>
      </c>
      <c r="D7" s="68" t="s">
        <v>94</v>
      </c>
      <c r="E7" s="68" t="s">
        <v>48</v>
      </c>
      <c r="F7" s="68" t="s">
        <v>0</v>
      </c>
    </row>
    <row r="8" spans="1:9" ht="15.6" x14ac:dyDescent="0.3">
      <c r="A8" s="77">
        <v>1</v>
      </c>
      <c r="B8" s="79" t="s">
        <v>81</v>
      </c>
      <c r="C8" s="111">
        <v>0.05</v>
      </c>
      <c r="D8" s="115">
        <f>'Proposed Price'!D63*(1-C8)</f>
        <v>25735.428571428572</v>
      </c>
      <c r="E8" s="115">
        <f>'Proposed Price'!E63*(1-C8)</f>
        <v>51470.857142857145</v>
      </c>
      <c r="F8" s="69"/>
      <c r="G8" s="70"/>
      <c r="H8" s="149" t="s">
        <v>91</v>
      </c>
      <c r="I8" s="149"/>
    </row>
    <row r="9" spans="1:9" x14ac:dyDescent="0.25">
      <c r="A9" s="77">
        <v>2</v>
      </c>
      <c r="B9" s="79" t="s">
        <v>82</v>
      </c>
      <c r="C9" s="111">
        <v>0.05</v>
      </c>
      <c r="D9" s="115" t="e">
        <f>'Proposed Price'!D64*(1-C9)</f>
        <v>#DIV/0!</v>
      </c>
      <c r="E9" s="115">
        <f>'Proposed Price'!E64*(1-C9)</f>
        <v>0</v>
      </c>
      <c r="F9" s="69"/>
      <c r="G9" s="70"/>
      <c r="H9" s="76" t="s">
        <v>88</v>
      </c>
      <c r="I9" s="73">
        <v>1</v>
      </c>
    </row>
    <row r="10" spans="1:9" x14ac:dyDescent="0.25">
      <c r="A10" s="77">
        <v>3</v>
      </c>
      <c r="B10" s="79" t="s">
        <v>74</v>
      </c>
      <c r="C10" s="111">
        <v>0.05</v>
      </c>
      <c r="D10" s="115" t="e">
        <f>'Proposed Price'!D65*(1-C10)</f>
        <v>#DIV/0!</v>
      </c>
      <c r="E10" s="115">
        <f>'Proposed Price'!E65*(1-C10)</f>
        <v>0</v>
      </c>
      <c r="F10" s="69"/>
      <c r="G10" s="70"/>
      <c r="H10" s="76" t="s">
        <v>87</v>
      </c>
      <c r="I10" s="74">
        <v>1</v>
      </c>
    </row>
    <row r="11" spans="1:9" x14ac:dyDescent="0.25">
      <c r="A11" s="77">
        <v>4</v>
      </c>
      <c r="B11" s="79" t="s">
        <v>83</v>
      </c>
      <c r="C11" s="111">
        <v>0.05</v>
      </c>
      <c r="D11" s="115" t="e">
        <f>'Proposed Price'!D66*(1-C11)</f>
        <v>#DIV/0!</v>
      </c>
      <c r="E11" s="115">
        <f>'Proposed Price'!E66*(1-C11)</f>
        <v>0</v>
      </c>
      <c r="F11" s="69"/>
      <c r="G11" s="70"/>
      <c r="H11" s="76" t="s">
        <v>86</v>
      </c>
      <c r="I11" s="75">
        <v>1</v>
      </c>
    </row>
    <row r="12" spans="1:9" x14ac:dyDescent="0.25">
      <c r="A12" s="77">
        <v>5</v>
      </c>
      <c r="B12" s="79" t="s">
        <v>84</v>
      </c>
      <c r="C12" s="111">
        <v>0.05</v>
      </c>
      <c r="D12" s="115" t="e">
        <f>'Proposed Price'!D67*(1-C12)</f>
        <v>#DIV/0!</v>
      </c>
      <c r="E12" s="115">
        <f>'Proposed Price'!E67*(1-C12)</f>
        <v>0</v>
      </c>
      <c r="F12" s="69"/>
      <c r="G12" s="70"/>
      <c r="H12" s="116"/>
      <c r="I12"/>
    </row>
    <row r="13" spans="1:9" x14ac:dyDescent="0.25">
      <c r="A13" s="77">
        <v>6</v>
      </c>
      <c r="B13" s="79" t="s">
        <v>102</v>
      </c>
      <c r="C13" s="111">
        <v>0.05</v>
      </c>
      <c r="D13" s="115" t="e">
        <f>'Proposed Price'!D68*(1-C13)</f>
        <v>#DIV/0!</v>
      </c>
      <c r="E13" s="115">
        <f>'Proposed Price'!E68*(1-C13)</f>
        <v>0</v>
      </c>
      <c r="F13" s="69"/>
      <c r="G13" s="70"/>
      <c r="H13" s="116"/>
      <c r="I13"/>
    </row>
    <row r="14" spans="1:9" x14ac:dyDescent="0.25">
      <c r="A14" s="77">
        <v>7</v>
      </c>
      <c r="B14" s="79" t="s">
        <v>103</v>
      </c>
      <c r="C14" s="111">
        <v>0.05</v>
      </c>
      <c r="D14" s="115" t="e">
        <f>'Proposed Price'!D69*(1-C14)</f>
        <v>#DIV/0!</v>
      </c>
      <c r="E14" s="115">
        <f>'Proposed Price'!E69*(1-C14)</f>
        <v>0</v>
      </c>
      <c r="F14" s="69"/>
      <c r="G14" s="70"/>
      <c r="H14" s="116"/>
      <c r="I14"/>
    </row>
    <row r="15" spans="1:9" x14ac:dyDescent="0.25">
      <c r="A15" s="77">
        <v>8</v>
      </c>
      <c r="B15" s="79" t="s">
        <v>104</v>
      </c>
      <c r="C15" s="111">
        <v>0.05</v>
      </c>
      <c r="D15" s="115" t="e">
        <f>'Proposed Price'!D70*(1-C15)</f>
        <v>#DIV/0!</v>
      </c>
      <c r="E15" s="115">
        <f>'Proposed Price'!E70*(1-C15)</f>
        <v>0</v>
      </c>
      <c r="F15" s="69"/>
      <c r="G15" s="70"/>
      <c r="H15" s="116"/>
      <c r="I15"/>
    </row>
    <row r="16" spans="1:9" x14ac:dyDescent="0.25">
      <c r="A16" s="77">
        <v>9</v>
      </c>
      <c r="B16" s="79" t="s">
        <v>106</v>
      </c>
      <c r="C16" s="111">
        <v>0.05</v>
      </c>
      <c r="D16" s="115" t="e">
        <f>'Proposed Price'!D71*(1-C16)</f>
        <v>#DIV/0!</v>
      </c>
      <c r="E16" s="115">
        <f>'Proposed Price'!E71*(1-C16)</f>
        <v>0</v>
      </c>
      <c r="F16" s="69"/>
    </row>
    <row r="17" spans="1:9" ht="24.75" customHeight="1" x14ac:dyDescent="0.25">
      <c r="A17" s="77">
        <v>10</v>
      </c>
      <c r="B17" s="150" t="s">
        <v>118</v>
      </c>
      <c r="C17" s="151"/>
      <c r="D17" s="152"/>
      <c r="E17" s="119">
        <f>SUM(E8:E16)</f>
        <v>51470.857142857145</v>
      </c>
      <c r="F17" s="108"/>
    </row>
    <row r="18" spans="1:9" ht="9.75" customHeight="1" x14ac:dyDescent="0.25">
      <c r="A18" s="89"/>
      <c r="B18" s="90"/>
      <c r="C18" s="91"/>
      <c r="D18" s="91"/>
      <c r="E18" s="93"/>
      <c r="F18" s="94"/>
    </row>
    <row r="19" spans="1:9" ht="15.6" x14ac:dyDescent="0.3">
      <c r="A19" s="122" t="s">
        <v>115</v>
      </c>
      <c r="B19" s="123"/>
      <c r="C19" s="123"/>
      <c r="D19" s="123"/>
      <c r="E19" s="123"/>
      <c r="F19" s="124"/>
    </row>
    <row r="20" spans="1:9" ht="15.6" x14ac:dyDescent="0.3">
      <c r="A20" s="77" t="s">
        <v>64</v>
      </c>
      <c r="B20" s="78" t="s">
        <v>46</v>
      </c>
      <c r="C20" s="68" t="s">
        <v>110</v>
      </c>
      <c r="D20" s="68" t="s">
        <v>94</v>
      </c>
      <c r="E20" s="68" t="s">
        <v>48</v>
      </c>
      <c r="F20" s="68" t="s">
        <v>0</v>
      </c>
    </row>
    <row r="21" spans="1:9" x14ac:dyDescent="0.25">
      <c r="A21" s="87">
        <v>11</v>
      </c>
      <c r="B21" s="79" t="s">
        <v>81</v>
      </c>
      <c r="C21" s="111">
        <f>'Proposed Price'!C63</f>
        <v>0.05</v>
      </c>
      <c r="D21" s="115">
        <f>D8*C21</f>
        <v>1286.7714285714287</v>
      </c>
      <c r="E21" s="115">
        <f>E8*C21</f>
        <v>2573.5428571428574</v>
      </c>
      <c r="F21" s="88"/>
    </row>
    <row r="22" spans="1:9" x14ac:dyDescent="0.25">
      <c r="A22" s="77">
        <v>12</v>
      </c>
      <c r="B22" s="79" t="s">
        <v>82</v>
      </c>
      <c r="C22" s="111">
        <f>'Proposed Price'!C64</f>
        <v>7.0000000000000007E-2</v>
      </c>
      <c r="D22" s="115" t="e">
        <f t="shared" ref="D22:D29" si="0">D9*C22</f>
        <v>#DIV/0!</v>
      </c>
      <c r="E22" s="115">
        <f t="shared" ref="E22:E29" si="1">E9*C22</f>
        <v>0</v>
      </c>
      <c r="F22" s="71"/>
      <c r="H22" s="103"/>
      <c r="I22" s="103"/>
    </row>
    <row r="23" spans="1:9" x14ac:dyDescent="0.25">
      <c r="A23" s="87">
        <v>13</v>
      </c>
      <c r="B23" s="79" t="s">
        <v>74</v>
      </c>
      <c r="C23" s="111">
        <f>'Proposed Price'!C65</f>
        <v>7.0000000000000007E-2</v>
      </c>
      <c r="D23" s="115" t="e">
        <f t="shared" si="0"/>
        <v>#DIV/0!</v>
      </c>
      <c r="E23" s="115">
        <f t="shared" si="1"/>
        <v>0</v>
      </c>
      <c r="F23" s="71"/>
      <c r="H23" s="103"/>
      <c r="I23" s="103"/>
    </row>
    <row r="24" spans="1:9" x14ac:dyDescent="0.25">
      <c r="A24" s="77">
        <v>14</v>
      </c>
      <c r="B24" s="79" t="s">
        <v>83</v>
      </c>
      <c r="C24" s="111">
        <f>'Proposed Price'!C66</f>
        <v>0.05</v>
      </c>
      <c r="D24" s="115" t="e">
        <f t="shared" si="0"/>
        <v>#DIV/0!</v>
      </c>
      <c r="E24" s="115">
        <f t="shared" si="1"/>
        <v>0</v>
      </c>
      <c r="F24" s="71"/>
    </row>
    <row r="25" spans="1:9" x14ac:dyDescent="0.25">
      <c r="A25" s="87">
        <v>15</v>
      </c>
      <c r="B25" s="79" t="s">
        <v>84</v>
      </c>
      <c r="C25" s="111">
        <f>'Proposed Price'!C67</f>
        <v>0.05</v>
      </c>
      <c r="D25" s="115" t="e">
        <f t="shared" si="0"/>
        <v>#DIV/0!</v>
      </c>
      <c r="E25" s="115">
        <f t="shared" si="1"/>
        <v>0</v>
      </c>
      <c r="F25" s="69"/>
    </row>
    <row r="26" spans="1:9" x14ac:dyDescent="0.25">
      <c r="A26" s="77">
        <v>16</v>
      </c>
      <c r="B26" s="79" t="s">
        <v>102</v>
      </c>
      <c r="C26" s="111">
        <f>'Proposed Price'!C68</f>
        <v>0.05</v>
      </c>
      <c r="D26" s="115" t="e">
        <f t="shared" si="0"/>
        <v>#DIV/0!</v>
      </c>
      <c r="E26" s="115">
        <f t="shared" si="1"/>
        <v>0</v>
      </c>
      <c r="F26" s="69"/>
    </row>
    <row r="27" spans="1:9" x14ac:dyDescent="0.25">
      <c r="A27" s="87">
        <v>17</v>
      </c>
      <c r="B27" s="79" t="s">
        <v>103</v>
      </c>
      <c r="C27" s="111">
        <f>'Proposed Price'!C69</f>
        <v>0.05</v>
      </c>
      <c r="D27" s="115" t="e">
        <f t="shared" si="0"/>
        <v>#DIV/0!</v>
      </c>
      <c r="E27" s="115">
        <f t="shared" si="1"/>
        <v>0</v>
      </c>
      <c r="F27" s="69"/>
      <c r="H27" s="113"/>
    </row>
    <row r="28" spans="1:9" x14ac:dyDescent="0.25">
      <c r="A28" s="77">
        <v>18</v>
      </c>
      <c r="B28" s="79" t="s">
        <v>104</v>
      </c>
      <c r="C28" s="111">
        <f>'Proposed Price'!C70</f>
        <v>0.05</v>
      </c>
      <c r="D28" s="115" t="e">
        <f t="shared" si="0"/>
        <v>#DIV/0!</v>
      </c>
      <c r="E28" s="115">
        <f t="shared" si="1"/>
        <v>0</v>
      </c>
      <c r="F28" s="69"/>
      <c r="H28" s="113"/>
    </row>
    <row r="29" spans="1:9" x14ac:dyDescent="0.25">
      <c r="A29" s="87">
        <v>19</v>
      </c>
      <c r="B29" s="79" t="s">
        <v>106</v>
      </c>
      <c r="C29" s="111">
        <f>'Proposed Price'!C71</f>
        <v>0.05</v>
      </c>
      <c r="D29" s="115" t="e">
        <f t="shared" si="0"/>
        <v>#DIV/0!</v>
      </c>
      <c r="E29" s="115">
        <f t="shared" si="1"/>
        <v>0</v>
      </c>
      <c r="F29" s="69"/>
    </row>
    <row r="30" spans="1:9" ht="15.6" x14ac:dyDescent="0.25">
      <c r="A30" s="77">
        <v>20</v>
      </c>
      <c r="B30" s="153" t="s">
        <v>117</v>
      </c>
      <c r="C30" s="154"/>
      <c r="D30" s="155"/>
      <c r="E30" s="52">
        <f>SUM(E21:E29)</f>
        <v>2573.5428571428574</v>
      </c>
      <c r="F30" s="72"/>
      <c r="G30" s="70"/>
      <c r="H30" s="70"/>
      <c r="I30" s="70"/>
    </row>
    <row r="31" spans="1:9" ht="9.75" customHeight="1" x14ac:dyDescent="0.25">
      <c r="A31" s="89"/>
      <c r="B31" s="90"/>
      <c r="C31" s="91"/>
      <c r="D31" s="91"/>
      <c r="E31" s="93"/>
      <c r="F31" s="94"/>
    </row>
    <row r="32" spans="1:9" ht="15.6" x14ac:dyDescent="0.3">
      <c r="A32" s="122" t="s">
        <v>119</v>
      </c>
      <c r="B32" s="123"/>
      <c r="C32" s="123"/>
      <c r="D32" s="123"/>
      <c r="E32" s="123"/>
      <c r="F32" s="124"/>
    </row>
    <row r="33" spans="1:8" ht="15.6" x14ac:dyDescent="0.3">
      <c r="A33" s="77" t="s">
        <v>64</v>
      </c>
      <c r="B33" s="78" t="s">
        <v>46</v>
      </c>
      <c r="C33" s="68" t="s">
        <v>47</v>
      </c>
      <c r="D33" s="68" t="s">
        <v>94</v>
      </c>
      <c r="E33" s="68" t="s">
        <v>48</v>
      </c>
      <c r="F33" s="68" t="s">
        <v>0</v>
      </c>
    </row>
    <row r="34" spans="1:8" x14ac:dyDescent="0.25">
      <c r="A34" s="77">
        <v>21</v>
      </c>
      <c r="B34" s="79" t="s">
        <v>81</v>
      </c>
      <c r="C34" s="95">
        <f>'Proposed Price'!C8</f>
        <v>2</v>
      </c>
      <c r="D34" s="117">
        <f>E34/C34</f>
        <v>7833.8571428571449</v>
      </c>
      <c r="E34" s="117">
        <f>E8-E21-'Proposed Price'!E8-'Proposed Price'!$C$45/(SUM('Proposed Price'!$C$8:$C$16))</f>
        <v>15667.71428571429</v>
      </c>
      <c r="F34" s="69"/>
    </row>
    <row r="35" spans="1:8" x14ac:dyDescent="0.25">
      <c r="A35" s="77">
        <v>22</v>
      </c>
      <c r="B35" s="79" t="s">
        <v>82</v>
      </c>
      <c r="C35" s="95">
        <f>'Proposed Price'!C9</f>
        <v>0</v>
      </c>
      <c r="D35" s="117" t="e">
        <f t="shared" ref="D35:D42" si="2">E35/C35</f>
        <v>#DIV/0!</v>
      </c>
      <c r="E35" s="117">
        <f>E9-E22-'Proposed Price'!E9-'Proposed Price'!$C$45/(SUM('Proposed Price'!$C$8:$C$16))</f>
        <v>-7000</v>
      </c>
      <c r="F35" s="69"/>
    </row>
    <row r="36" spans="1:8" x14ac:dyDescent="0.25">
      <c r="A36" s="77">
        <v>23</v>
      </c>
      <c r="B36" s="79" t="s">
        <v>74</v>
      </c>
      <c r="C36" s="95">
        <f>'Proposed Price'!C10</f>
        <v>0</v>
      </c>
      <c r="D36" s="117" t="e">
        <f t="shared" si="2"/>
        <v>#DIV/0!</v>
      </c>
      <c r="E36" s="117">
        <f>E10-E23-'Proposed Price'!E10-'Proposed Price'!$C$45/(SUM('Proposed Price'!$C$8:$C$16))</f>
        <v>-7000</v>
      </c>
      <c r="F36" s="69"/>
    </row>
    <row r="37" spans="1:8" x14ac:dyDescent="0.25">
      <c r="A37" s="77">
        <v>24</v>
      </c>
      <c r="B37" s="79" t="s">
        <v>83</v>
      </c>
      <c r="C37" s="95">
        <f>'Proposed Price'!C11</f>
        <v>0</v>
      </c>
      <c r="D37" s="117" t="e">
        <f t="shared" si="2"/>
        <v>#DIV/0!</v>
      </c>
      <c r="E37" s="117">
        <f>E11-E24-'Proposed Price'!E11-'Proposed Price'!$C$45/(SUM('Proposed Price'!$C$8:$C$16))</f>
        <v>-7000</v>
      </c>
      <c r="F37" s="69"/>
    </row>
    <row r="38" spans="1:8" x14ac:dyDescent="0.25">
      <c r="A38" s="77">
        <v>25</v>
      </c>
      <c r="B38" s="79" t="s">
        <v>84</v>
      </c>
      <c r="C38" s="95">
        <f>'Proposed Price'!C12</f>
        <v>0</v>
      </c>
      <c r="D38" s="117" t="e">
        <f t="shared" si="2"/>
        <v>#DIV/0!</v>
      </c>
      <c r="E38" s="117">
        <f>E12-E25-'Proposed Price'!E12-'Proposed Price'!$C$45/(SUM('Proposed Price'!$C$8:$C$16))</f>
        <v>-7000</v>
      </c>
      <c r="F38" s="69"/>
    </row>
    <row r="39" spans="1:8" x14ac:dyDescent="0.25">
      <c r="A39" s="77">
        <v>26</v>
      </c>
      <c r="B39" s="79" t="s">
        <v>102</v>
      </c>
      <c r="C39" s="95">
        <f>'Proposed Price'!C13</f>
        <v>0</v>
      </c>
      <c r="D39" s="117" t="e">
        <f t="shared" si="2"/>
        <v>#DIV/0!</v>
      </c>
      <c r="E39" s="117">
        <f>E13-E26-'Proposed Price'!E13-'Proposed Price'!$C$45/(SUM('Proposed Price'!$C$8:$C$16))</f>
        <v>-7000</v>
      </c>
      <c r="F39" s="69"/>
    </row>
    <row r="40" spans="1:8" x14ac:dyDescent="0.25">
      <c r="A40" s="77">
        <v>27</v>
      </c>
      <c r="B40" s="79" t="s">
        <v>103</v>
      </c>
      <c r="C40" s="95">
        <f>'Proposed Price'!C14</f>
        <v>0</v>
      </c>
      <c r="D40" s="117" t="e">
        <f t="shared" si="2"/>
        <v>#DIV/0!</v>
      </c>
      <c r="E40" s="117">
        <f>E14-E27-'Proposed Price'!E14-'Proposed Price'!$C$45/(SUM('Proposed Price'!$C$8:$C$16))</f>
        <v>-7000</v>
      </c>
      <c r="F40" s="69"/>
    </row>
    <row r="41" spans="1:8" x14ac:dyDescent="0.25">
      <c r="A41" s="77">
        <v>28</v>
      </c>
      <c r="B41" s="79" t="s">
        <v>104</v>
      </c>
      <c r="C41" s="95">
        <f>'Proposed Price'!C15</f>
        <v>0</v>
      </c>
      <c r="D41" s="117" t="e">
        <f t="shared" si="2"/>
        <v>#DIV/0!</v>
      </c>
      <c r="E41" s="117">
        <f>E15-E28-'Proposed Price'!E15-'Proposed Price'!$C$45/(SUM('Proposed Price'!$C$8:$C$16))</f>
        <v>-7000</v>
      </c>
      <c r="F41" s="69"/>
    </row>
    <row r="42" spans="1:8" x14ac:dyDescent="0.25">
      <c r="A42" s="77">
        <v>29</v>
      </c>
      <c r="B42" s="79" t="s">
        <v>106</v>
      </c>
      <c r="C42" s="95">
        <f>'Proposed Price'!C16</f>
        <v>0</v>
      </c>
      <c r="D42" s="117" t="e">
        <f t="shared" si="2"/>
        <v>#DIV/0!</v>
      </c>
      <c r="E42" s="117">
        <f>E16-E29-'Proposed Price'!E16-'Proposed Price'!$C$45/(SUM('Proposed Price'!$C$8:$C$16))</f>
        <v>-7000</v>
      </c>
      <c r="F42" s="69"/>
    </row>
    <row r="43" spans="1:8" ht="26.25" customHeight="1" x14ac:dyDescent="0.25">
      <c r="A43" s="77">
        <v>30</v>
      </c>
      <c r="B43" s="150" t="s">
        <v>116</v>
      </c>
      <c r="C43" s="151"/>
      <c r="D43" s="152"/>
      <c r="E43" s="118">
        <f>E17-E30-'Proposed Price'!E17-'Proposed Price'!C45</f>
        <v>8667.7142857142899</v>
      </c>
      <c r="F43" s="69"/>
    </row>
    <row r="44" spans="1:8" ht="9.75" customHeight="1" x14ac:dyDescent="0.25">
      <c r="A44" s="89"/>
      <c r="B44" s="90"/>
      <c r="C44" s="91"/>
      <c r="D44" s="91"/>
      <c r="E44" s="93"/>
      <c r="F44" s="94"/>
    </row>
    <row r="45" spans="1:8" ht="22.5" customHeight="1" x14ac:dyDescent="0.25">
      <c r="A45" s="77">
        <v>31</v>
      </c>
      <c r="B45" s="156" t="s">
        <v>120</v>
      </c>
      <c r="C45" s="157"/>
      <c r="D45" s="158"/>
      <c r="E45" s="104">
        <f>'Proposed Price'!E43-'Discounted Price'!E43</f>
        <v>2573.5428571428565</v>
      </c>
      <c r="F45" s="69"/>
      <c r="H45" s="70"/>
    </row>
    <row r="46" spans="1:8" ht="22.5" customHeight="1" x14ac:dyDescent="0.25">
      <c r="A46" s="77">
        <v>32</v>
      </c>
      <c r="B46" s="156" t="s">
        <v>121</v>
      </c>
      <c r="C46" s="157"/>
      <c r="D46" s="158"/>
      <c r="E46" s="120">
        <f>E30/'Proposed Price'!E43</f>
        <v>0.22893728205284611</v>
      </c>
      <c r="F46" s="69"/>
      <c r="H46" s="70"/>
    </row>
    <row r="48" spans="1:8" x14ac:dyDescent="0.25">
      <c r="F48" s="103"/>
    </row>
    <row r="49" spans="6:6" x14ac:dyDescent="0.25">
      <c r="F49" s="70"/>
    </row>
  </sheetData>
  <sheetProtection formatCells="0" formatColumns="0" formatRows="0" insertColumns="0" insertRows="0" insertHyperlinks="0" deleteColumns="0" deleteRows="0" sort="0" autoFilter="0" pivotTables="0"/>
  <mergeCells count="10">
    <mergeCell ref="B30:D30"/>
    <mergeCell ref="B43:D43"/>
    <mergeCell ref="A32:F32"/>
    <mergeCell ref="B45:D45"/>
    <mergeCell ref="B46:D46"/>
    <mergeCell ref="A1:F1"/>
    <mergeCell ref="H8:I8"/>
    <mergeCell ref="A6:F6"/>
    <mergeCell ref="B17:D17"/>
    <mergeCell ref="A19:F19"/>
  </mergeCells>
  <phoneticPr fontId="10" type="noConversion"/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16</vt:i4>
      </vt:variant>
    </vt:vector>
  </HeadingPairs>
  <TitlesOfParts>
    <vt:vector size="16" baseType="lpstr">
      <vt:lpstr>L1 Info</vt:lpstr>
      <vt:lpstr>L2 Info</vt:lpstr>
      <vt:lpstr>L3 Info</vt:lpstr>
      <vt:lpstr>L4 Info</vt:lpstr>
      <vt:lpstr>L5 Info</vt:lpstr>
      <vt:lpstr>L1</vt:lpstr>
      <vt:lpstr>L2</vt:lpstr>
      <vt:lpstr>L3</vt:lpstr>
      <vt:lpstr>L4</vt:lpstr>
      <vt:lpstr>L5 Cost</vt:lpstr>
      <vt:lpstr>E1</vt:lpstr>
      <vt:lpstr>E2</vt:lpstr>
      <vt:lpstr>M1</vt:lpstr>
      <vt:lpstr>M2</vt:lpstr>
      <vt:lpstr>Proposed Price</vt:lpstr>
      <vt:lpstr>Discounted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Abu Hassan</dc:creator>
  <cp:lastModifiedBy>rateb.666@outlook.sa</cp:lastModifiedBy>
  <cp:lastPrinted>2024-06-24T07:13:12Z</cp:lastPrinted>
  <dcterms:created xsi:type="dcterms:W3CDTF">2015-06-05T18:17:20Z</dcterms:created>
  <dcterms:modified xsi:type="dcterms:W3CDTF">2026-09-06T12:00:11Z</dcterms:modified>
</cp:coreProperties>
</file>